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Harry\INVENTARIOS COMBUSTIBLES\"/>
    </mc:Choice>
  </mc:AlternateContent>
  <bookViews>
    <workbookView xWindow="0" yWindow="0" windowWidth="20490" windowHeight="7755" activeTab="1"/>
  </bookViews>
  <sheets>
    <sheet name="ENERO" sheetId="1" r:id="rId1"/>
    <sheet name="FEBRERO" sheetId="6" r:id="rId2"/>
    <sheet name="VENTAS" sheetId="2" r:id="rId3"/>
    <sheet name="ACEITES" sheetId="3" r:id="rId4"/>
    <sheet name="EVAPORACIONES" sheetId="4" r:id="rId5"/>
    <sheet name="2013-2021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6" l="1"/>
  <c r="G30" i="6"/>
  <c r="G31" i="6"/>
  <c r="G32" i="6"/>
  <c r="C52" i="2"/>
  <c r="D52" i="2"/>
  <c r="E52" i="2"/>
  <c r="F52" i="2"/>
  <c r="G52" i="2"/>
  <c r="H52" i="2"/>
  <c r="I52" i="2"/>
  <c r="J52" i="2"/>
  <c r="K52" i="2"/>
  <c r="L52" i="2"/>
  <c r="M52" i="2"/>
  <c r="F39" i="6"/>
  <c r="D39" i="6"/>
  <c r="C39" i="6"/>
  <c r="B39" i="6"/>
  <c r="E39" i="6" s="1"/>
  <c r="E38" i="6"/>
  <c r="G38" i="6" s="1"/>
  <c r="H38" i="6" s="1"/>
  <c r="E37" i="6"/>
  <c r="G37" i="6" s="1"/>
  <c r="H37" i="6" s="1"/>
  <c r="E36" i="6"/>
  <c r="G36" i="6" s="1"/>
  <c r="H36" i="6" s="1"/>
  <c r="E35" i="6"/>
  <c r="G35" i="6" s="1"/>
  <c r="F33" i="6"/>
  <c r="D33" i="6"/>
  <c r="C33" i="6"/>
  <c r="B33" i="6"/>
  <c r="E32" i="6"/>
  <c r="H32" i="6" s="1"/>
  <c r="E31" i="6"/>
  <c r="H31" i="6" s="1"/>
  <c r="E30" i="6"/>
  <c r="H30" i="6" s="1"/>
  <c r="E29" i="6"/>
  <c r="H29" i="6" s="1"/>
  <c r="F27" i="6"/>
  <c r="D27" i="6"/>
  <c r="C27" i="6"/>
  <c r="B27" i="6"/>
  <c r="E26" i="6"/>
  <c r="G26" i="6" s="1"/>
  <c r="H26" i="6" s="1"/>
  <c r="E25" i="6"/>
  <c r="G25" i="6" s="1"/>
  <c r="H25" i="6" s="1"/>
  <c r="E24" i="6"/>
  <c r="G24" i="6" s="1"/>
  <c r="H24" i="6" s="1"/>
  <c r="E23" i="6"/>
  <c r="F21" i="6"/>
  <c r="D21" i="6"/>
  <c r="C21" i="6"/>
  <c r="B21" i="6"/>
  <c r="G20" i="6"/>
  <c r="E20" i="6"/>
  <c r="E19" i="6"/>
  <c r="G19" i="6" s="1"/>
  <c r="H19" i="6" s="1"/>
  <c r="G18" i="6"/>
  <c r="H18" i="6" s="1"/>
  <c r="E18" i="6"/>
  <c r="F16" i="6"/>
  <c r="D16" i="6"/>
  <c r="C16" i="6"/>
  <c r="B16" i="6"/>
  <c r="E15" i="6"/>
  <c r="G15" i="6" s="1"/>
  <c r="H15" i="6" s="1"/>
  <c r="E14" i="6"/>
  <c r="G14" i="6" s="1"/>
  <c r="H14" i="6" s="1"/>
  <c r="E13" i="6"/>
  <c r="F11" i="6"/>
  <c r="D11" i="6"/>
  <c r="C11" i="6"/>
  <c r="B11" i="6"/>
  <c r="E10" i="6"/>
  <c r="G10" i="6" s="1"/>
  <c r="H10" i="6" s="1"/>
  <c r="E9" i="6"/>
  <c r="G9" i="6" s="1"/>
  <c r="H9" i="6" s="1"/>
  <c r="E8" i="6"/>
  <c r="G8" i="6" s="1"/>
  <c r="H8" i="6" s="1"/>
  <c r="E7" i="6"/>
  <c r="E11" i="6" l="1"/>
  <c r="F40" i="6"/>
  <c r="C40" i="6"/>
  <c r="E27" i="6"/>
  <c r="D40" i="6"/>
  <c r="E16" i="6"/>
  <c r="B40" i="6"/>
  <c r="E40" i="6" s="1"/>
  <c r="G13" i="6"/>
  <c r="G39" i="6"/>
  <c r="H39" i="6" s="1"/>
  <c r="H35" i="6"/>
  <c r="G16" i="6"/>
  <c r="H16" i="6" s="1"/>
  <c r="E21" i="6"/>
  <c r="G21" i="6"/>
  <c r="H21" i="6" s="1"/>
  <c r="E33" i="6"/>
  <c r="G33" i="6"/>
  <c r="H33" i="6" s="1"/>
  <c r="G7" i="6"/>
  <c r="H13" i="6"/>
  <c r="G23" i="6"/>
  <c r="N52" i="4"/>
  <c r="D51" i="4"/>
  <c r="E51" i="4"/>
  <c r="F51" i="4"/>
  <c r="G51" i="4"/>
  <c r="H51" i="4"/>
  <c r="I51" i="4"/>
  <c r="J51" i="4"/>
  <c r="K51" i="4"/>
  <c r="L51" i="4"/>
  <c r="M51" i="4"/>
  <c r="B51" i="4"/>
  <c r="G40" i="6" l="1"/>
  <c r="H40" i="6" s="1"/>
  <c r="G27" i="6"/>
  <c r="H27" i="6" s="1"/>
  <c r="H23" i="6"/>
  <c r="G11" i="6"/>
  <c r="H11" i="6" s="1"/>
  <c r="H7" i="6"/>
  <c r="J18" i="5"/>
  <c r="N32" i="4"/>
  <c r="N33" i="4"/>
  <c r="N34" i="4"/>
  <c r="N35" i="4"/>
  <c r="F16" i="1"/>
  <c r="I18" i="5"/>
  <c r="H18" i="5"/>
  <c r="G18" i="5"/>
  <c r="F18" i="5"/>
  <c r="E18" i="5"/>
  <c r="D18" i="5"/>
  <c r="C18" i="5"/>
  <c r="B18" i="5"/>
  <c r="M50" i="4"/>
  <c r="L50" i="4"/>
  <c r="K50" i="4"/>
  <c r="J50" i="4"/>
  <c r="I50" i="4"/>
  <c r="H50" i="4"/>
  <c r="G50" i="4"/>
  <c r="F50" i="4"/>
  <c r="E50" i="4"/>
  <c r="D50" i="4"/>
  <c r="C50" i="4"/>
  <c r="B50" i="4"/>
  <c r="M49" i="4"/>
  <c r="L49" i="4"/>
  <c r="K49" i="4"/>
  <c r="J49" i="4"/>
  <c r="I49" i="4"/>
  <c r="H49" i="4"/>
  <c r="G49" i="4"/>
  <c r="F49" i="4"/>
  <c r="E49" i="4"/>
  <c r="D49" i="4"/>
  <c r="C49" i="4"/>
  <c r="B49" i="4"/>
  <c r="M48" i="4"/>
  <c r="L48" i="4"/>
  <c r="K48" i="4"/>
  <c r="J48" i="4"/>
  <c r="I48" i="4"/>
  <c r="H48" i="4"/>
  <c r="G48" i="4"/>
  <c r="F48" i="4"/>
  <c r="E48" i="4"/>
  <c r="D48" i="4"/>
  <c r="C48" i="4"/>
  <c r="B48" i="4"/>
  <c r="M47" i="4"/>
  <c r="L47" i="4"/>
  <c r="K47" i="4"/>
  <c r="J47" i="4"/>
  <c r="I47" i="4"/>
  <c r="H47" i="4"/>
  <c r="G47" i="4"/>
  <c r="F47" i="4"/>
  <c r="E47" i="4"/>
  <c r="D47" i="4"/>
  <c r="C47" i="4"/>
  <c r="C51" i="4" s="1"/>
  <c r="B47" i="4"/>
  <c r="M43" i="4"/>
  <c r="L43" i="4"/>
  <c r="K43" i="4"/>
  <c r="J43" i="4"/>
  <c r="I43" i="4"/>
  <c r="H43" i="4"/>
  <c r="G43" i="4"/>
  <c r="F43" i="4"/>
  <c r="E43" i="4"/>
  <c r="D43" i="4"/>
  <c r="C43" i="4"/>
  <c r="B43" i="4"/>
  <c r="N42" i="4"/>
  <c r="N41" i="4"/>
  <c r="N40" i="4"/>
  <c r="N39" i="4"/>
  <c r="M36" i="4"/>
  <c r="L36" i="4"/>
  <c r="K36" i="4"/>
  <c r="J36" i="4"/>
  <c r="I36" i="4"/>
  <c r="H36" i="4"/>
  <c r="G36" i="4"/>
  <c r="F36" i="4"/>
  <c r="E36" i="4"/>
  <c r="D36" i="4"/>
  <c r="C36" i="4"/>
  <c r="B36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N27" i="4"/>
  <c r="N26" i="4"/>
  <c r="N25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N20" i="4"/>
  <c r="N19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N14" i="4"/>
  <c r="N13" i="4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N8" i="4"/>
  <c r="N7" i="4"/>
  <c r="N6" i="4"/>
  <c r="M12" i="3"/>
  <c r="L12" i="3"/>
  <c r="K12" i="3"/>
  <c r="J12" i="3"/>
  <c r="I12" i="3"/>
  <c r="H12" i="3"/>
  <c r="G12" i="3"/>
  <c r="F12" i="3"/>
  <c r="E12" i="3"/>
  <c r="D12" i="3"/>
  <c r="C12" i="3"/>
  <c r="B12" i="3"/>
  <c r="N11" i="3"/>
  <c r="N10" i="3"/>
  <c r="N9" i="3"/>
  <c r="N8" i="3"/>
  <c r="N7" i="3"/>
  <c r="N6" i="3"/>
  <c r="B58" i="2"/>
  <c r="N58" i="2" s="1"/>
  <c r="N53" i="2"/>
  <c r="B52" i="2"/>
  <c r="N44" i="2"/>
  <c r="M43" i="2"/>
  <c r="L43" i="2"/>
  <c r="K43" i="2"/>
  <c r="J43" i="2"/>
  <c r="I43" i="2"/>
  <c r="H43" i="2"/>
  <c r="G43" i="2"/>
  <c r="F43" i="2"/>
  <c r="E43" i="2"/>
  <c r="D43" i="2"/>
  <c r="N42" i="2"/>
  <c r="N41" i="2"/>
  <c r="N40" i="2"/>
  <c r="C43" i="2"/>
  <c r="B43" i="2"/>
  <c r="N35" i="2"/>
  <c r="M34" i="2"/>
  <c r="L34" i="2"/>
  <c r="K34" i="2"/>
  <c r="J34" i="2"/>
  <c r="I34" i="2"/>
  <c r="H34" i="2"/>
  <c r="G34" i="2"/>
  <c r="F34" i="2"/>
  <c r="E34" i="2"/>
  <c r="D34" i="2"/>
  <c r="N33" i="2"/>
  <c r="N32" i="2"/>
  <c r="N31" i="2"/>
  <c r="C34" i="2"/>
  <c r="B34" i="2"/>
  <c r="N26" i="2"/>
  <c r="M25" i="2"/>
  <c r="L25" i="2"/>
  <c r="K25" i="2"/>
  <c r="J25" i="2"/>
  <c r="I25" i="2"/>
  <c r="H25" i="2"/>
  <c r="G25" i="2"/>
  <c r="F25" i="2"/>
  <c r="E25" i="2"/>
  <c r="D25" i="2"/>
  <c r="N24" i="2"/>
  <c r="C25" i="2"/>
  <c r="B25" i="2"/>
  <c r="N19" i="2"/>
  <c r="M18" i="2"/>
  <c r="L18" i="2"/>
  <c r="K18" i="2"/>
  <c r="J18" i="2"/>
  <c r="I18" i="2"/>
  <c r="H18" i="2"/>
  <c r="H57" i="2" s="1"/>
  <c r="H59" i="2" s="1"/>
  <c r="G18" i="2"/>
  <c r="F18" i="2"/>
  <c r="F57" i="2" s="1"/>
  <c r="F59" i="2" s="1"/>
  <c r="E18" i="2"/>
  <c r="D18" i="2"/>
  <c r="D57" i="2" s="1"/>
  <c r="D59" i="2" s="1"/>
  <c r="N17" i="2"/>
  <c r="B18" i="2"/>
  <c r="C18" i="2"/>
  <c r="N15" i="2"/>
  <c r="N11" i="2"/>
  <c r="M10" i="2"/>
  <c r="L10" i="2"/>
  <c r="K10" i="2"/>
  <c r="J10" i="2"/>
  <c r="I10" i="2"/>
  <c r="H10" i="2"/>
  <c r="G10" i="2"/>
  <c r="F10" i="2"/>
  <c r="E10" i="2"/>
  <c r="D10" i="2"/>
  <c r="C10" i="2"/>
  <c r="N9" i="2"/>
  <c r="N8" i="2"/>
  <c r="N7" i="2"/>
  <c r="N6" i="2"/>
  <c r="B10" i="2"/>
  <c r="F39" i="1"/>
  <c r="D39" i="1"/>
  <c r="C39" i="1"/>
  <c r="B39" i="1"/>
  <c r="E38" i="1"/>
  <c r="G38" i="1" s="1"/>
  <c r="H38" i="1" s="1"/>
  <c r="E37" i="1"/>
  <c r="G37" i="1" s="1"/>
  <c r="H37" i="1" s="1"/>
  <c r="E36" i="1"/>
  <c r="G36" i="1" s="1"/>
  <c r="H36" i="1" s="1"/>
  <c r="E35" i="1"/>
  <c r="G35" i="1" s="1"/>
  <c r="F33" i="1"/>
  <c r="D33" i="1"/>
  <c r="C33" i="1"/>
  <c r="B33" i="1"/>
  <c r="E32" i="1"/>
  <c r="G32" i="1" s="1"/>
  <c r="H32" i="1" s="1"/>
  <c r="E31" i="1"/>
  <c r="G31" i="1" s="1"/>
  <c r="H31" i="1" s="1"/>
  <c r="E30" i="1"/>
  <c r="G30" i="1" s="1"/>
  <c r="H30" i="1" s="1"/>
  <c r="E29" i="1"/>
  <c r="G29" i="1" s="1"/>
  <c r="H29" i="1" s="1"/>
  <c r="F27" i="1"/>
  <c r="D27" i="1"/>
  <c r="C27" i="1"/>
  <c r="B27" i="1"/>
  <c r="G26" i="1"/>
  <c r="H26" i="1" s="1"/>
  <c r="E26" i="1"/>
  <c r="E25" i="1"/>
  <c r="G25" i="1" s="1"/>
  <c r="H25" i="1" s="1"/>
  <c r="E24" i="1"/>
  <c r="G24" i="1" s="1"/>
  <c r="H24" i="1" s="1"/>
  <c r="E23" i="1"/>
  <c r="F21" i="1"/>
  <c r="D21" i="1"/>
  <c r="C21" i="1"/>
  <c r="B21" i="1"/>
  <c r="G20" i="1"/>
  <c r="E20" i="1"/>
  <c r="E19" i="1"/>
  <c r="G19" i="1" s="1"/>
  <c r="H19" i="1" s="1"/>
  <c r="E18" i="1"/>
  <c r="G18" i="1" s="1"/>
  <c r="H18" i="1" s="1"/>
  <c r="D16" i="1"/>
  <c r="C16" i="1"/>
  <c r="B16" i="1"/>
  <c r="E15" i="1"/>
  <c r="G15" i="1" s="1"/>
  <c r="H15" i="1" s="1"/>
  <c r="E14" i="1"/>
  <c r="G14" i="1" s="1"/>
  <c r="H14" i="1" s="1"/>
  <c r="E13" i="1"/>
  <c r="G13" i="1" s="1"/>
  <c r="F11" i="1"/>
  <c r="D11" i="1"/>
  <c r="C11" i="1"/>
  <c r="B11" i="1"/>
  <c r="G10" i="1"/>
  <c r="H10" i="1" s="1"/>
  <c r="E10" i="1"/>
  <c r="E9" i="1"/>
  <c r="G9" i="1" s="1"/>
  <c r="H9" i="1" s="1"/>
  <c r="E8" i="1"/>
  <c r="G8" i="1" s="1"/>
  <c r="H8" i="1" s="1"/>
  <c r="E7" i="1"/>
  <c r="J57" i="2" l="1"/>
  <c r="J59" i="2" s="1"/>
  <c r="L57" i="2"/>
  <c r="L59" i="2" s="1"/>
  <c r="N49" i="2"/>
  <c r="N50" i="2"/>
  <c r="N51" i="2"/>
  <c r="N12" i="3"/>
  <c r="B44" i="4"/>
  <c r="D44" i="4"/>
  <c r="F44" i="4"/>
  <c r="H44" i="4"/>
  <c r="J44" i="4"/>
  <c r="L44" i="4"/>
  <c r="N29" i="4"/>
  <c r="N43" i="4"/>
  <c r="N36" i="4"/>
  <c r="N22" i="4"/>
  <c r="C44" i="4"/>
  <c r="E44" i="4"/>
  <c r="G44" i="4"/>
  <c r="I44" i="4"/>
  <c r="K44" i="4"/>
  <c r="M44" i="4"/>
  <c r="N16" i="4"/>
  <c r="N48" i="4"/>
  <c r="N49" i="4"/>
  <c r="N50" i="4"/>
  <c r="N10" i="2"/>
  <c r="B57" i="2"/>
  <c r="B59" i="2" s="1"/>
  <c r="C57" i="2"/>
  <c r="C59" i="2" s="1"/>
  <c r="E57" i="2"/>
  <c r="E59" i="2" s="1"/>
  <c r="G57" i="2"/>
  <c r="G59" i="2" s="1"/>
  <c r="I57" i="2"/>
  <c r="I59" i="2" s="1"/>
  <c r="K57" i="2"/>
  <c r="K59" i="2" s="1"/>
  <c r="M57" i="2"/>
  <c r="M59" i="2" s="1"/>
  <c r="E39" i="1"/>
  <c r="F40" i="1"/>
  <c r="E27" i="1"/>
  <c r="D40" i="1"/>
  <c r="B40" i="1"/>
  <c r="E16" i="1"/>
  <c r="C40" i="1"/>
  <c r="E11" i="1"/>
  <c r="N10" i="4"/>
  <c r="N47" i="4"/>
  <c r="N16" i="2"/>
  <c r="N18" i="2" s="1"/>
  <c r="N23" i="2"/>
  <c r="N25" i="2" s="1"/>
  <c r="N30" i="2"/>
  <c r="N34" i="2" s="1"/>
  <c r="N39" i="2"/>
  <c r="N43" i="2" s="1"/>
  <c r="N48" i="2"/>
  <c r="G39" i="1"/>
  <c r="H39" i="1" s="1"/>
  <c r="H35" i="1"/>
  <c r="G16" i="1"/>
  <c r="H16" i="1" s="1"/>
  <c r="E21" i="1"/>
  <c r="G21" i="1"/>
  <c r="H21" i="1" s="1"/>
  <c r="E33" i="1"/>
  <c r="G33" i="1"/>
  <c r="H33" i="1" s="1"/>
  <c r="G7" i="1"/>
  <c r="H13" i="1"/>
  <c r="G23" i="1"/>
  <c r="N51" i="4" l="1"/>
  <c r="N52" i="2"/>
  <c r="N57" i="2" s="1"/>
  <c r="N44" i="4"/>
  <c r="N59" i="2"/>
  <c r="E40" i="1"/>
  <c r="G40" i="1" s="1"/>
  <c r="H40" i="1" s="1"/>
  <c r="G27" i="1"/>
  <c r="H27" i="1" s="1"/>
  <c r="H23" i="1"/>
  <c r="G11" i="1"/>
  <c r="H11" i="1" s="1"/>
  <c r="H7" i="1"/>
</calcChain>
</file>

<file path=xl/sharedStrings.xml><?xml version="1.0" encoding="utf-8"?>
<sst xmlns="http://schemas.openxmlformats.org/spreadsheetml/2006/main" count="366" uniqueCount="76">
  <si>
    <t>DISTRIBUIDORA PANTING ZELAYA S.A de C.V.</t>
  </si>
  <si>
    <t xml:space="preserve"> CIERRE MENSUAL DE COMBUSTIBLES</t>
  </si>
  <si>
    <t>UNO SATELITE</t>
  </si>
  <si>
    <t>PRODUCTO</t>
  </si>
  <si>
    <t>SALDO</t>
  </si>
  <si>
    <t>COMPRAS</t>
  </si>
  <si>
    <t>VENTAS</t>
  </si>
  <si>
    <t>TOTAL</t>
  </si>
  <si>
    <t>FISICO</t>
  </si>
  <si>
    <t>EVAPOR</t>
  </si>
  <si>
    <t>%</t>
  </si>
  <si>
    <t xml:space="preserve"> SUPER</t>
  </si>
  <si>
    <t>REGULAR</t>
  </si>
  <si>
    <t>DIESEL</t>
  </si>
  <si>
    <t>KEROSINA</t>
  </si>
  <si>
    <t>UNO  BOULEVARD MORAZAN</t>
  </si>
  <si>
    <t>UNO  BIJAO</t>
  </si>
  <si>
    <t>UNO LUISIANA</t>
  </si>
  <si>
    <t>UNO  SANTA ANITA</t>
  </si>
  <si>
    <t>UNO LA GUARDIA</t>
  </si>
  <si>
    <t>SUPER</t>
  </si>
  <si>
    <t>TOTALES</t>
  </si>
  <si>
    <t>DISTRIBUIDORA PANTING ZELAYA S.A. de C.V.</t>
  </si>
  <si>
    <t>ESTADISTICAS DE VENTAS</t>
  </si>
  <si>
    <t>AÑO 2020</t>
  </si>
  <si>
    <t>SATELITE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</si>
  <si>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</si>
  <si>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</si>
  <si>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</si>
  <si>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</si>
  <si>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</si>
  <si>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</si>
  <si>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</si>
  <si>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</si>
  <si>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</si>
  <si>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</si>
  <si>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</si>
  <si>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</si>
  <si>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</si>
  <si>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UNO PRO</t>
  </si>
  <si>
    <t>METAS</t>
  </si>
  <si>
    <t>MORAZAN</t>
  </si>
  <si>
    <t>BIJAO</t>
  </si>
  <si>
    <t xml:space="preserve">METAS </t>
  </si>
  <si>
    <t>LUISIANA</t>
  </si>
  <si>
    <t>STA. ANITA</t>
  </si>
  <si>
    <t>GUARDIA</t>
  </si>
  <si>
    <t>DIFERENCIAS</t>
  </si>
  <si>
    <t>Distribuidora Panting Zelaya S.A de C.V.</t>
  </si>
  <si>
    <t>Estadisticas de Ventas Aceites</t>
  </si>
  <si>
    <t>SANTA ANITA</t>
  </si>
  <si>
    <t>ESTADISTICAS DE EVAPORACIONES</t>
  </si>
  <si>
    <t>Resumen</t>
  </si>
  <si>
    <t>Total 2020</t>
  </si>
  <si>
    <t>Total2019</t>
  </si>
  <si>
    <t>Total 2018</t>
  </si>
  <si>
    <t>Total 2017</t>
  </si>
  <si>
    <t>VENTAS COMBUSTIBLE PANTZELA</t>
  </si>
  <si>
    <t>AÑO 2013-  AÑO 2020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</si>
  <si>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</si>
  <si>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</si>
  <si>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</si>
  <si>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</si>
  <si>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</si>
  <si>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</si>
  <si>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</si>
  <si>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</si>
  <si>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</si>
  <si>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</si>
  <si>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</si>
  <si>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</si>
  <si>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 DE ENERO 2021</t>
  </si>
  <si>
    <t>AÑO 2021</t>
  </si>
  <si>
    <t>Total 2021</t>
  </si>
  <si>
    <t>Año 2021</t>
  </si>
  <si>
    <t>MES DE FEBRERO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</si>
</sst>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color theme="1"/>
      <name val="Arial Rounded MT Bold"/>
      <family val="2"/>
    </font>
    <font>
      <b/>
      <sz val="14"/>
      <color theme="1"/>
      <name val="Arial Black"/>
      <family val="2"/>
    </font>
    <font>
      <b/>
      <sz val="12"/>
      <color theme="1"/>
      <name val="Arial Rounded MT Bold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2" fillId="0" borderId="0" applyNumberForma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/>
    <xf numFmtId="0" fontId="4" fillId="0" borderId="0" xfId="1" applyFont="1" applyAlignment="1"/>
    <xf numFmtId="0" fontId="3" fillId="0" borderId="0" xfId="1"/>
    <xf numFmtId="0" fontId="4" fillId="0" borderId="1" xfId="1" applyFont="1" applyBorder="1"/>
    <xf numFmtId="0" fontId="4" fillId="0" borderId="2" xfId="1" applyFont="1" applyBorder="1"/>
    <xf numFmtId="0" fontId="5" fillId="0" borderId="2" xfId="1" applyFont="1" applyBorder="1"/>
    <xf numFmtId="0" fontId="5" fillId="0" borderId="3" xfId="1" applyFont="1" applyBorder="1"/>
    <xf numFmtId="0" fontId="6" fillId="0" borderId="4" xfId="1" applyFont="1" applyBorder="1"/>
    <xf numFmtId="0" fontId="6" fillId="0" borderId="5" xfId="1" applyFont="1" applyBorder="1"/>
    <xf numFmtId="0" fontId="6" fillId="0" borderId="6" xfId="1" applyFont="1" applyBorder="1"/>
    <xf numFmtId="0" fontId="6" fillId="0" borderId="7" xfId="1" applyFont="1" applyBorder="1"/>
    <xf numFmtId="0" fontId="6" fillId="0" borderId="8" xfId="1" applyFont="1" applyBorder="1"/>
    <xf numFmtId="0" fontId="3" fillId="0" borderId="9" xfId="1" applyFont="1" applyBorder="1"/>
    <xf numFmtId="3" fontId="3" fillId="0" borderId="10" xfId="1" applyNumberFormat="1" applyFont="1" applyBorder="1"/>
    <xf numFmtId="3" fontId="3" fillId="0" borderId="11" xfId="1" applyNumberFormat="1" applyFont="1" applyBorder="1"/>
    <xf numFmtId="3" fontId="3" fillId="0" borderId="9" xfId="1" applyNumberFormat="1" applyFont="1" applyBorder="1"/>
    <xf numFmtId="164" fontId="3" fillId="0" borderId="10" xfId="1" applyNumberFormat="1" applyFont="1" applyBorder="1"/>
    <xf numFmtId="3" fontId="3" fillId="0" borderId="12" xfId="1" applyNumberFormat="1" applyFont="1" applyBorder="1"/>
    <xf numFmtId="164" fontId="3" fillId="0" borderId="12" xfId="1" applyNumberFormat="1" applyFont="1" applyBorder="1"/>
    <xf numFmtId="3" fontId="3" fillId="0" borderId="5" xfId="1" applyNumberFormat="1" applyFont="1" applyBorder="1"/>
    <xf numFmtId="164" fontId="3" fillId="0" borderId="5" xfId="1" applyNumberFormat="1" applyFont="1" applyBorder="1"/>
    <xf numFmtId="0" fontId="6" fillId="0" borderId="1" xfId="1" applyFont="1" applyBorder="1"/>
    <xf numFmtId="3" fontId="6" fillId="0" borderId="7" xfId="1" applyNumberFormat="1" applyFont="1" applyBorder="1"/>
    <xf numFmtId="164" fontId="6" fillId="0" borderId="7" xfId="1" applyNumberFormat="1" applyFont="1" applyBorder="1"/>
    <xf numFmtId="0" fontId="4" fillId="0" borderId="1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0" xfId="1" applyFont="1"/>
    <xf numFmtId="164" fontId="5" fillId="0" borderId="8" xfId="1" applyNumberFormat="1" applyFont="1" applyBorder="1"/>
    <xf numFmtId="0" fontId="3" fillId="0" borderId="9" xfId="1" applyBorder="1"/>
    <xf numFmtId="3" fontId="3" fillId="0" borderId="10" xfId="1" applyNumberFormat="1" applyBorder="1"/>
    <xf numFmtId="3" fontId="3" fillId="0" borderId="13" xfId="1" applyNumberFormat="1" applyBorder="1"/>
    <xf numFmtId="3" fontId="3" fillId="0" borderId="11" xfId="1" applyNumberFormat="1" applyBorder="1"/>
    <xf numFmtId="164" fontId="3" fillId="0" borderId="10" xfId="1" applyNumberFormat="1" applyBorder="1"/>
    <xf numFmtId="3" fontId="3" fillId="0" borderId="12" xfId="1" applyNumberFormat="1" applyBorder="1"/>
    <xf numFmtId="3" fontId="3" fillId="0" borderId="9" xfId="1" applyNumberFormat="1" applyBorder="1"/>
    <xf numFmtId="3" fontId="3" fillId="0" borderId="0" xfId="1" applyNumberFormat="1"/>
    <xf numFmtId="164" fontId="3" fillId="0" borderId="12" xfId="1" applyNumberFormat="1" applyBorder="1"/>
    <xf numFmtId="3" fontId="3" fillId="0" borderId="5" xfId="1" applyNumberFormat="1" applyBorder="1"/>
    <xf numFmtId="0" fontId="3" fillId="0" borderId="1" xfId="1" applyBorder="1"/>
    <xf numFmtId="0" fontId="5" fillId="0" borderId="0" xfId="1" applyFont="1"/>
    <xf numFmtId="164" fontId="4" fillId="0" borderId="8" xfId="1" applyNumberFormat="1" applyFont="1" applyBorder="1"/>
    <xf numFmtId="3" fontId="3" fillId="0" borderId="6" xfId="1" applyNumberFormat="1" applyBorder="1"/>
    <xf numFmtId="3" fontId="3" fillId="0" borderId="4" xfId="1" applyNumberFormat="1" applyBorder="1"/>
    <xf numFmtId="164" fontId="3" fillId="0" borderId="5" xfId="1" applyNumberFormat="1" applyBorder="1"/>
    <xf numFmtId="3" fontId="6" fillId="0" borderId="5" xfId="1" applyNumberFormat="1" applyFont="1" applyBorder="1"/>
    <xf numFmtId="164" fontId="6" fillId="0" borderId="5" xfId="1" applyNumberFormat="1" applyFont="1" applyBorder="1"/>
    <xf numFmtId="0" fontId="4" fillId="0" borderId="4" xfId="1" applyFont="1" applyBorder="1"/>
    <xf numFmtId="3" fontId="3" fillId="0" borderId="14" xfId="1" applyNumberFormat="1" applyBorder="1"/>
    <xf numFmtId="3" fontId="3" fillId="0" borderId="8" xfId="1" applyNumberFormat="1" applyBorder="1"/>
    <xf numFmtId="3" fontId="3" fillId="0" borderId="15" xfId="1" applyNumberFormat="1" applyBorder="1"/>
    <xf numFmtId="0" fontId="4" fillId="0" borderId="4" xfId="1" applyFont="1" applyBorder="1" applyAlignment="1">
      <alignment horizontal="left"/>
    </xf>
    <xf numFmtId="3" fontId="6" fillId="0" borderId="10" xfId="1" applyNumberFormat="1" applyFont="1" applyBorder="1"/>
    <xf numFmtId="164" fontId="6" fillId="0" borderId="10" xfId="1" applyNumberFormat="1" applyFont="1" applyBorder="1"/>
    <xf numFmtId="0" fontId="6" fillId="0" borderId="4" xfId="1" applyFont="1" applyBorder="1" applyAlignment="1">
      <alignment horizontal="left"/>
    </xf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9" xfId="0" applyBorder="1"/>
    <xf numFmtId="0" fontId="1" fillId="0" borderId="9" xfId="0" applyFont="1" applyBorder="1"/>
    <xf numFmtId="3" fontId="1" fillId="0" borderId="17" xfId="0" applyNumberFormat="1" applyFont="1" applyFill="1" applyBorder="1"/>
    <xf numFmtId="3" fontId="1" fillId="0" borderId="17" xfId="0" applyNumberFormat="1" applyFont="1" applyBorder="1"/>
    <xf numFmtId="3" fontId="1" fillId="0" borderId="18" xfId="0" applyNumberFormat="1" applyFont="1" applyBorder="1"/>
    <xf numFmtId="0" fontId="1" fillId="2" borderId="9" xfId="0" applyFont="1" applyFill="1" applyBorder="1"/>
    <xf numFmtId="3" fontId="1" fillId="2" borderId="0" xfId="0" applyNumberFormat="1" applyFont="1" applyFill="1"/>
    <xf numFmtId="3" fontId="1" fillId="2" borderId="8" xfId="0" applyNumberFormat="1" applyFont="1" applyFill="1" applyBorder="1"/>
    <xf numFmtId="3" fontId="1" fillId="0" borderId="0" xfId="0" applyNumberFormat="1" applyFont="1"/>
    <xf numFmtId="3" fontId="1" fillId="0" borderId="8" xfId="0" applyNumberFormat="1" applyFont="1" applyBorder="1"/>
    <xf numFmtId="0" fontId="0" fillId="0" borderId="8" xfId="0" applyBorder="1"/>
    <xf numFmtId="0" fontId="1" fillId="0" borderId="19" xfId="0" applyFont="1" applyBorder="1"/>
    <xf numFmtId="0" fontId="1" fillId="2" borderId="17" xfId="0" applyFont="1" applyFill="1" applyBorder="1"/>
    <xf numFmtId="3" fontId="1" fillId="2" borderId="17" xfId="0" applyNumberFormat="1" applyFont="1" applyFill="1" applyBorder="1"/>
    <xf numFmtId="0" fontId="1" fillId="0" borderId="17" xfId="0" applyFont="1" applyBorder="1"/>
    <xf numFmtId="0" fontId="0" fillId="0" borderId="4" xfId="0" applyBorder="1"/>
    <xf numFmtId="0" fontId="0" fillId="0" borderId="6" xfId="0" applyBorder="1"/>
    <xf numFmtId="0" fontId="0" fillId="0" borderId="15" xfId="0" applyBorder="1"/>
    <xf numFmtId="0" fontId="14" fillId="0" borderId="0" xfId="0" applyFont="1"/>
    <xf numFmtId="0" fontId="11" fillId="0" borderId="0" xfId="0" applyFont="1"/>
    <xf numFmtId="0" fontId="11" fillId="0" borderId="17" xfId="0" applyFont="1" applyBorder="1"/>
    <xf numFmtId="4" fontId="10" fillId="0" borderId="17" xfId="0" applyNumberFormat="1" applyFont="1" applyBorder="1"/>
    <xf numFmtId="0" fontId="8" fillId="0" borderId="0" xfId="0" applyFont="1"/>
    <xf numFmtId="0" fontId="8" fillId="0" borderId="0" xfId="0" applyFont="1" applyAlignment="1"/>
    <xf numFmtId="0" fontId="11" fillId="0" borderId="0" xfId="0" applyFont="1" applyAlignment="1"/>
    <xf numFmtId="3" fontId="0" fillId="0" borderId="0" xfId="0" applyNumberFormat="1"/>
    <xf numFmtId="0" fontId="1" fillId="0" borderId="0" xfId="0" applyFont="1"/>
    <xf numFmtId="3" fontId="1" fillId="0" borderId="1" xfId="0" applyNumberFormat="1" applyFont="1" applyBorder="1"/>
    <xf numFmtId="3" fontId="1" fillId="0" borderId="7" xfId="0" applyNumberFormat="1" applyFont="1" applyBorder="1"/>
    <xf numFmtId="3" fontId="0" fillId="0" borderId="7" xfId="0" applyNumberFormat="1" applyBorder="1"/>
    <xf numFmtId="3" fontId="3" fillId="0" borderId="0" xfId="1" applyNumberFormat="1" applyBorder="1"/>
    <xf numFmtId="3" fontId="0" fillId="0" borderId="3" xfId="0" applyNumberFormat="1" applyBorder="1"/>
    <xf numFmtId="3" fontId="1" fillId="0" borderId="16" xfId="0" applyNumberFormat="1" applyFont="1" applyBorder="1"/>
    <xf numFmtId="3" fontId="1" fillId="0" borderId="2" xfId="0" applyNumberFormat="1" applyFont="1" applyBorder="1"/>
    <xf numFmtId="3" fontId="11" fillId="0" borderId="4" xfId="0" applyNumberFormat="1" applyFont="1" applyBorder="1"/>
    <xf numFmtId="3" fontId="1" fillId="0" borderId="15" xfId="0" applyNumberFormat="1" applyFont="1" applyBorder="1"/>
    <xf numFmtId="0" fontId="15" fillId="0" borderId="0" xfId="0" applyFont="1"/>
    <xf numFmtId="0" fontId="16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0" fontId="3" fillId="0" borderId="13" xfId="1" applyBorder="1"/>
    <xf numFmtId="0" fontId="3" fillId="0" borderId="4" xfId="1" applyBorder="1"/>
    <xf numFmtId="0" fontId="3" fillId="0" borderId="13" xfId="1" applyFont="1" applyBorder="1"/>
    <xf numFmtId="3" fontId="3" fillId="0" borderId="13" xfId="1" applyNumberFormat="1" applyFont="1" applyBorder="1"/>
    <xf numFmtId="3" fontId="3" fillId="0" borderId="0" xfId="1" applyNumberFormat="1" applyFont="1" applyBorder="1"/>
    <xf numFmtId="0" fontId="3" fillId="0" borderId="4" xfId="1" applyFont="1" applyBorder="1"/>
    <xf numFmtId="3" fontId="3" fillId="0" borderId="6" xfId="1" applyNumberFormat="1" applyFont="1" applyBorder="1"/>
    <xf numFmtId="3" fontId="3" fillId="0" borderId="4" xfId="1" applyNumberFormat="1" applyFont="1" applyBorder="1"/>
    <xf numFmtId="3" fontId="1" fillId="0" borderId="20" xfId="0" applyNumberFormat="1" applyFont="1" applyBorder="1"/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3" fontId="13" fillId="0" borderId="17" xfId="2" applyNumberFormat="1" applyFont="1" applyBorder="1"/>
    <xf numFmtId="3" fontId="3" fillId="0" borderId="17" xfId="1" applyNumberFormat="1" applyFont="1" applyBorder="1"/>
    <xf numFmtId="3" fontId="13" fillId="0" borderId="17" xfId="0" applyNumberFormat="1" applyFont="1" applyBorder="1"/>
    <xf numFmtId="3" fontId="3" fillId="0" borderId="17" xfId="1" applyNumberFormat="1" applyBorder="1"/>
    <xf numFmtId="3" fontId="0" fillId="0" borderId="17" xfId="0" applyNumberFormat="1" applyBorder="1"/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0" fillId="0" borderId="17" xfId="0" applyBorder="1"/>
    <xf numFmtId="0" fontId="4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35" workbookViewId="0">
      <selection sqref="A1:H40"/>
    </sheetView>
  </sheetViews>
  <sheetFormatPr baseColWidth="10" defaultRowHeight="15"/>
  <cols>
    <col min="1" max="1" width="23.7109375" customWidth="1"/>
  </cols>
  <sheetData>
    <row r="1" spans="1:8" ht="22.5">
      <c r="A1" s="1" t="s">
        <v>0</v>
      </c>
      <c r="B1" s="1"/>
      <c r="C1" s="1"/>
      <c r="D1" s="1"/>
      <c r="E1" s="1"/>
      <c r="F1" s="1"/>
      <c r="G1" s="1"/>
      <c r="H1" s="1"/>
    </row>
    <row r="2" spans="1:8" ht="15.75">
      <c r="A2" s="2" t="s">
        <v>1</v>
      </c>
      <c r="B2" s="2"/>
      <c r="C2" s="2"/>
      <c r="D2" s="2"/>
      <c r="E2" s="2"/>
      <c r="F2" s="2"/>
      <c r="G2" s="2"/>
      <c r="H2" s="2"/>
    </row>
    <row r="3" spans="1:8" ht="15.75">
      <c r="A3" s="119" t="s">
        <v>71</v>
      </c>
      <c r="B3" s="119"/>
      <c r="C3" s="119"/>
      <c r="D3" s="119"/>
      <c r="E3" s="2"/>
      <c r="F3" s="2"/>
      <c r="G3" s="2"/>
      <c r="H3" s="2"/>
    </row>
    <row r="4" spans="1:8" ht="15.75" thickBot="1">
      <c r="A4" s="3"/>
      <c r="B4" s="3"/>
      <c r="C4" s="3"/>
      <c r="D4" s="3"/>
      <c r="E4" s="3"/>
      <c r="F4" s="3"/>
      <c r="G4" s="3"/>
      <c r="H4" s="3"/>
    </row>
    <row r="5" spans="1:8" ht="16.5" thickBot="1">
      <c r="A5" s="4" t="s">
        <v>2</v>
      </c>
      <c r="B5" s="5"/>
      <c r="C5" s="6"/>
      <c r="D5" s="6"/>
      <c r="E5" s="6"/>
      <c r="F5" s="6"/>
      <c r="G5" s="6"/>
      <c r="H5" s="7"/>
    </row>
    <row r="6" spans="1:8" ht="15.75" thickBot="1">
      <c r="A6" s="8" t="s">
        <v>3</v>
      </c>
      <c r="B6" s="9" t="s">
        <v>4</v>
      </c>
      <c r="C6" s="9" t="s">
        <v>5</v>
      </c>
      <c r="D6" s="10" t="s">
        <v>6</v>
      </c>
      <c r="E6" s="8" t="s">
        <v>7</v>
      </c>
      <c r="F6" s="11" t="s">
        <v>8</v>
      </c>
      <c r="G6" s="12" t="s">
        <v>9</v>
      </c>
      <c r="H6" s="12" t="s">
        <v>10</v>
      </c>
    </row>
    <row r="7" spans="1:8">
      <c r="A7" s="101" t="s">
        <v>11</v>
      </c>
      <c r="B7" s="14">
        <v>5913</v>
      </c>
      <c r="C7" s="14">
        <v>48000</v>
      </c>
      <c r="D7" s="15">
        <v>51845</v>
      </c>
      <c r="E7" s="102">
        <f>+B7+C7-D7</f>
        <v>2068</v>
      </c>
      <c r="F7" s="14">
        <v>1794</v>
      </c>
      <c r="G7" s="14">
        <f>+F7-E7</f>
        <v>-274</v>
      </c>
      <c r="H7" s="17">
        <f>+G7/C7</f>
        <v>-5.7083333333333335E-3</v>
      </c>
    </row>
    <row r="8" spans="1:8">
      <c r="A8" s="13" t="s">
        <v>12</v>
      </c>
      <c r="B8" s="18">
        <v>2097</v>
      </c>
      <c r="C8" s="18">
        <v>32500</v>
      </c>
      <c r="D8" s="103">
        <v>32911</v>
      </c>
      <c r="E8" s="16">
        <f>+B8+C8-D8</f>
        <v>1686</v>
      </c>
      <c r="F8" s="18">
        <v>1432</v>
      </c>
      <c r="G8" s="18">
        <f>+F8-E8</f>
        <v>-254</v>
      </c>
      <c r="H8" s="19">
        <f>+G8/C8</f>
        <v>-7.8153846153846147E-3</v>
      </c>
    </row>
    <row r="9" spans="1:8">
      <c r="A9" s="13" t="s">
        <v>13</v>
      </c>
      <c r="B9" s="18">
        <v>2742</v>
      </c>
      <c r="C9" s="18">
        <v>33500</v>
      </c>
      <c r="D9" s="103">
        <v>34895</v>
      </c>
      <c r="E9" s="16">
        <f>+B9+C9-D9</f>
        <v>1347</v>
      </c>
      <c r="F9" s="18">
        <v>1413</v>
      </c>
      <c r="G9" s="18">
        <f>+F9-E9</f>
        <v>66</v>
      </c>
      <c r="H9" s="19">
        <f>+G9/C9</f>
        <v>1.9701492537313433E-3</v>
      </c>
    </row>
    <row r="10" spans="1:8" ht="15.75" thickBot="1">
      <c r="A10" s="104" t="s">
        <v>14</v>
      </c>
      <c r="B10" s="20">
        <v>411</v>
      </c>
      <c r="C10" s="20">
        <v>7500</v>
      </c>
      <c r="D10" s="105">
        <v>7477</v>
      </c>
      <c r="E10" s="106">
        <f>+B10+C10-D10</f>
        <v>434</v>
      </c>
      <c r="F10" s="20">
        <v>424</v>
      </c>
      <c r="G10" s="20">
        <f>+F10-E10</f>
        <v>-10</v>
      </c>
      <c r="H10" s="21">
        <f>+G10/C10</f>
        <v>-1.3333333333333333E-3</v>
      </c>
    </row>
    <row r="11" spans="1:8" ht="15.75" thickBot="1">
      <c r="A11" s="22"/>
      <c r="B11" s="23">
        <f t="shared" ref="B11:F11" si="0">SUM(B7:B10)</f>
        <v>11163</v>
      </c>
      <c r="C11" s="23">
        <f t="shared" si="0"/>
        <v>121500</v>
      </c>
      <c r="D11" s="23">
        <f t="shared" si="0"/>
        <v>127128</v>
      </c>
      <c r="E11" s="23">
        <f t="shared" si="0"/>
        <v>5535</v>
      </c>
      <c r="F11" s="23">
        <f t="shared" si="0"/>
        <v>5063</v>
      </c>
      <c r="G11" s="23">
        <f>SUM(G7:G10)</f>
        <v>-472</v>
      </c>
      <c r="H11" s="24">
        <f>+G11/C11</f>
        <v>-3.8847736625514401E-3</v>
      </c>
    </row>
    <row r="12" spans="1:8" ht="16.5" thickBot="1">
      <c r="A12" s="25" t="s">
        <v>15</v>
      </c>
      <c r="B12" s="26"/>
      <c r="C12" s="27"/>
      <c r="D12" s="27"/>
      <c r="E12" s="27"/>
      <c r="F12" s="27"/>
      <c r="G12" s="27"/>
      <c r="H12" s="28"/>
    </row>
    <row r="13" spans="1:8">
      <c r="A13" s="99" t="s">
        <v>11</v>
      </c>
      <c r="B13" s="30">
        <v>3725</v>
      </c>
      <c r="C13" s="30">
        <v>39000</v>
      </c>
      <c r="D13" s="31">
        <v>38769</v>
      </c>
      <c r="E13" s="30">
        <f>+B13+C13-D13</f>
        <v>3956</v>
      </c>
      <c r="F13" s="30">
        <v>3692</v>
      </c>
      <c r="G13" s="32">
        <f>+F13-E13</f>
        <v>-264</v>
      </c>
      <c r="H13" s="33">
        <f>+G13/C13</f>
        <v>-6.7692307692307696E-3</v>
      </c>
    </row>
    <row r="14" spans="1:8">
      <c r="A14" s="29" t="s">
        <v>12</v>
      </c>
      <c r="B14" s="34">
        <v>1571</v>
      </c>
      <c r="C14" s="34">
        <v>19000</v>
      </c>
      <c r="D14" s="35">
        <v>18608</v>
      </c>
      <c r="E14" s="34">
        <f>+B14+C14-D14</f>
        <v>1963</v>
      </c>
      <c r="F14" s="34">
        <v>1822</v>
      </c>
      <c r="G14" s="88">
        <f>+F14-E14</f>
        <v>-141</v>
      </c>
      <c r="H14" s="37">
        <f>+G14/C14</f>
        <v>-7.4210526315789472E-3</v>
      </c>
    </row>
    <row r="15" spans="1:8" ht="15.75" thickBot="1">
      <c r="A15" s="100" t="s">
        <v>13</v>
      </c>
      <c r="B15" s="38">
        <v>4652</v>
      </c>
      <c r="C15" s="38">
        <v>29000</v>
      </c>
      <c r="D15" s="43">
        <v>30987</v>
      </c>
      <c r="E15" s="38">
        <f>+B15+C15-D15</f>
        <v>2665</v>
      </c>
      <c r="F15" s="38">
        <v>2733</v>
      </c>
      <c r="G15" s="42">
        <f>+F15-E15</f>
        <v>68</v>
      </c>
      <c r="H15" s="44">
        <f>+G15/C15</f>
        <v>2.3448275862068967E-3</v>
      </c>
    </row>
    <row r="16" spans="1:8" ht="15.75" thickBot="1">
      <c r="A16" s="39"/>
      <c r="B16" s="23">
        <f t="shared" ref="B16:F16" si="1">SUM(B13:B15)</f>
        <v>9948</v>
      </c>
      <c r="C16" s="23">
        <f t="shared" si="1"/>
        <v>87000</v>
      </c>
      <c r="D16" s="23">
        <f t="shared" si="1"/>
        <v>88364</v>
      </c>
      <c r="E16" s="23">
        <f t="shared" si="1"/>
        <v>8584</v>
      </c>
      <c r="F16" s="23">
        <f t="shared" si="1"/>
        <v>8247</v>
      </c>
      <c r="G16" s="23">
        <f>SUM(G13:G15)</f>
        <v>-337</v>
      </c>
      <c r="H16" s="24">
        <f>+G16/C16</f>
        <v>-3.8735632183908046E-3</v>
      </c>
    </row>
    <row r="17" spans="1:8" ht="16.5" thickBot="1">
      <c r="A17" s="25" t="s">
        <v>16</v>
      </c>
      <c r="B17" s="40"/>
      <c r="C17" s="40"/>
      <c r="D17" s="40"/>
      <c r="E17" s="40"/>
      <c r="F17" s="40"/>
      <c r="G17" s="40"/>
      <c r="H17" s="41"/>
    </row>
    <row r="18" spans="1:8">
      <c r="A18" s="99" t="s">
        <v>11</v>
      </c>
      <c r="B18" s="31">
        <v>846</v>
      </c>
      <c r="C18" s="30">
        <v>7000</v>
      </c>
      <c r="D18" s="31">
        <v>6084</v>
      </c>
      <c r="E18" s="30">
        <f>+B18+C18-D18</f>
        <v>1762</v>
      </c>
      <c r="F18" s="32">
        <v>1691</v>
      </c>
      <c r="G18" s="30">
        <f>+F18-E18</f>
        <v>-71</v>
      </c>
      <c r="H18" s="33">
        <f>+G18/C18</f>
        <v>-1.0142857142857143E-2</v>
      </c>
    </row>
    <row r="19" spans="1:8">
      <c r="A19" s="29" t="s">
        <v>13</v>
      </c>
      <c r="B19" s="35">
        <v>3300</v>
      </c>
      <c r="C19" s="34">
        <v>26000</v>
      </c>
      <c r="D19" s="35">
        <v>25298</v>
      </c>
      <c r="E19" s="34">
        <f>+B19+C19-D19</f>
        <v>4002</v>
      </c>
      <c r="F19" s="88">
        <v>3994</v>
      </c>
      <c r="G19" s="34">
        <f>+F19-E19</f>
        <v>-8</v>
      </c>
      <c r="H19" s="37">
        <f>+G19/C19</f>
        <v>-3.076923076923077E-4</v>
      </c>
    </row>
    <row r="20" spans="1:8" ht="15.75" thickBot="1">
      <c r="A20" s="100" t="s">
        <v>14</v>
      </c>
      <c r="B20" s="43">
        <v>901</v>
      </c>
      <c r="C20" s="38"/>
      <c r="D20" s="43"/>
      <c r="E20" s="38">
        <f>+B20+C20-D20</f>
        <v>901</v>
      </c>
      <c r="F20" s="42">
        <v>901</v>
      </c>
      <c r="G20" s="38">
        <f>+F20-E20</f>
        <v>0</v>
      </c>
      <c r="H20" s="44">
        <v>0</v>
      </c>
    </row>
    <row r="21" spans="1:8" ht="15.75" thickBot="1">
      <c r="A21" s="39"/>
      <c r="B21" s="45">
        <f t="shared" ref="B21:F21" si="2">SUM(B18:B20)</f>
        <v>5047</v>
      </c>
      <c r="C21" s="45">
        <f t="shared" si="2"/>
        <v>33000</v>
      </c>
      <c r="D21" s="45">
        <f t="shared" si="2"/>
        <v>31382</v>
      </c>
      <c r="E21" s="45">
        <f t="shared" si="2"/>
        <v>6665</v>
      </c>
      <c r="F21" s="45">
        <f t="shared" si="2"/>
        <v>6586</v>
      </c>
      <c r="G21" s="45">
        <f>SUM(G18:G20)</f>
        <v>-79</v>
      </c>
      <c r="H21" s="46">
        <f>+G21/C21</f>
        <v>-2.393939393939394E-3</v>
      </c>
    </row>
    <row r="22" spans="1:8" ht="16.5" thickBot="1">
      <c r="A22" s="47" t="s">
        <v>17</v>
      </c>
      <c r="B22" s="40"/>
      <c r="C22" s="40"/>
      <c r="D22" s="40"/>
      <c r="E22" s="40"/>
      <c r="F22" s="40"/>
      <c r="G22" s="40"/>
      <c r="H22" s="41"/>
    </row>
    <row r="23" spans="1:8">
      <c r="A23" s="29" t="s">
        <v>11</v>
      </c>
      <c r="B23" s="30">
        <v>2036</v>
      </c>
      <c r="C23" s="30">
        <v>15000</v>
      </c>
      <c r="D23" s="31">
        <v>14924</v>
      </c>
      <c r="E23" s="30">
        <f>+B23+C23-D23</f>
        <v>2112</v>
      </c>
      <c r="F23" s="48">
        <v>2003</v>
      </c>
      <c r="G23" s="30">
        <f>+F23-E23</f>
        <v>-109</v>
      </c>
      <c r="H23" s="33">
        <f>+G23/C23</f>
        <v>-7.2666666666666669E-3</v>
      </c>
    </row>
    <row r="24" spans="1:8">
      <c r="A24" s="29" t="s">
        <v>12</v>
      </c>
      <c r="B24" s="34">
        <v>1510</v>
      </c>
      <c r="C24" s="34">
        <v>11000</v>
      </c>
      <c r="D24" s="35">
        <v>10851</v>
      </c>
      <c r="E24" s="34">
        <f t="shared" ref="E24:E26" si="3">+B24+C24-D24</f>
        <v>1659</v>
      </c>
      <c r="F24" s="49">
        <v>1287</v>
      </c>
      <c r="G24" s="34">
        <f>+F24-E24</f>
        <v>-372</v>
      </c>
      <c r="H24" s="37">
        <f>+G24/C24</f>
        <v>-3.3818181818181817E-2</v>
      </c>
    </row>
    <row r="25" spans="1:8">
      <c r="A25" s="29" t="s">
        <v>13</v>
      </c>
      <c r="B25" s="34">
        <v>5069</v>
      </c>
      <c r="C25" s="34">
        <v>36500</v>
      </c>
      <c r="D25" s="35">
        <v>36709</v>
      </c>
      <c r="E25" s="34">
        <f t="shared" si="3"/>
        <v>4860</v>
      </c>
      <c r="F25" s="49">
        <v>4982</v>
      </c>
      <c r="G25" s="34">
        <f>+F25-E25</f>
        <v>122</v>
      </c>
      <c r="H25" s="37">
        <f>+G25/C25</f>
        <v>3.3424657534246575E-3</v>
      </c>
    </row>
    <row r="26" spans="1:8" ht="15.75" thickBot="1">
      <c r="A26" s="29" t="s">
        <v>14</v>
      </c>
      <c r="B26" s="38">
        <v>1490</v>
      </c>
      <c r="C26" s="38">
        <v>10000</v>
      </c>
      <c r="D26" s="43">
        <v>9847</v>
      </c>
      <c r="E26" s="38">
        <f t="shared" si="3"/>
        <v>1643</v>
      </c>
      <c r="F26" s="50">
        <v>1469</v>
      </c>
      <c r="G26" s="38">
        <f>+F26-E26</f>
        <v>-174</v>
      </c>
      <c r="H26" s="44">
        <f>+G26/C26</f>
        <v>-1.7399999999999999E-2</v>
      </c>
    </row>
    <row r="27" spans="1:8" ht="15.75" thickBot="1">
      <c r="A27" s="39"/>
      <c r="B27" s="23">
        <f t="shared" ref="B27:G27" si="4">SUM(B23:B26)</f>
        <v>10105</v>
      </c>
      <c r="C27" s="23">
        <f t="shared" si="4"/>
        <v>72500</v>
      </c>
      <c r="D27" s="23">
        <f t="shared" si="4"/>
        <v>72331</v>
      </c>
      <c r="E27" s="23">
        <f t="shared" si="4"/>
        <v>10274</v>
      </c>
      <c r="F27" s="45">
        <f t="shared" si="4"/>
        <v>9741</v>
      </c>
      <c r="G27" s="23">
        <f t="shared" si="4"/>
        <v>-533</v>
      </c>
      <c r="H27" s="24">
        <f>+G27/C27</f>
        <v>-7.3517241379310342E-3</v>
      </c>
    </row>
    <row r="28" spans="1:8" ht="16.5" thickBot="1">
      <c r="A28" s="51" t="s">
        <v>18</v>
      </c>
      <c r="B28" s="27"/>
      <c r="C28" s="27"/>
      <c r="D28" s="27"/>
      <c r="E28" s="27"/>
      <c r="F28" s="27"/>
      <c r="G28" s="27"/>
      <c r="H28" s="41"/>
    </row>
    <row r="29" spans="1:8">
      <c r="A29" s="29" t="s">
        <v>11</v>
      </c>
      <c r="B29" s="30">
        <v>2071</v>
      </c>
      <c r="C29" s="30">
        <v>26500</v>
      </c>
      <c r="D29" s="31">
        <v>25700</v>
      </c>
      <c r="E29" s="30">
        <f>+B29+C29-D29</f>
        <v>2871</v>
      </c>
      <c r="F29" s="30">
        <v>2712</v>
      </c>
      <c r="G29" s="32">
        <f>+F29-E29</f>
        <v>-159</v>
      </c>
      <c r="H29" s="33">
        <f>+G29/C29</f>
        <v>-6.0000000000000001E-3</v>
      </c>
    </row>
    <row r="30" spans="1:8">
      <c r="A30" s="29" t="s">
        <v>12</v>
      </c>
      <c r="B30" s="34">
        <v>2225</v>
      </c>
      <c r="C30" s="34">
        <v>18000</v>
      </c>
      <c r="D30" s="35">
        <v>18210</v>
      </c>
      <c r="E30" s="34">
        <f t="shared" ref="E30:E32" si="5">+B30+C30-D30</f>
        <v>2015</v>
      </c>
      <c r="F30" s="34">
        <v>1833</v>
      </c>
      <c r="G30" s="36">
        <f>+F30-E30</f>
        <v>-182</v>
      </c>
      <c r="H30" s="37">
        <f>+G30/C30</f>
        <v>-1.0111111111111111E-2</v>
      </c>
    </row>
    <row r="31" spans="1:8">
      <c r="A31" s="29" t="s">
        <v>13</v>
      </c>
      <c r="B31" s="34">
        <v>2804</v>
      </c>
      <c r="C31" s="34">
        <v>27000</v>
      </c>
      <c r="D31" s="35">
        <v>27343</v>
      </c>
      <c r="E31" s="34">
        <f t="shared" si="5"/>
        <v>2461</v>
      </c>
      <c r="F31" s="34">
        <v>2514</v>
      </c>
      <c r="G31" s="36">
        <f>+F31-E31</f>
        <v>53</v>
      </c>
      <c r="H31" s="37">
        <f>+G31/C31</f>
        <v>1.9629629629629628E-3</v>
      </c>
    </row>
    <row r="32" spans="1:8" ht="15.75" thickBot="1">
      <c r="A32" s="29" t="s">
        <v>14</v>
      </c>
      <c r="B32" s="38">
        <v>1690</v>
      </c>
      <c r="C32" s="34">
        <v>4000</v>
      </c>
      <c r="D32" s="43">
        <v>4136</v>
      </c>
      <c r="E32" s="34">
        <f t="shared" si="5"/>
        <v>1554</v>
      </c>
      <c r="F32" s="38">
        <v>1551</v>
      </c>
      <c r="G32" s="36">
        <f>+F32-E32</f>
        <v>-3</v>
      </c>
      <c r="H32" s="37">
        <f>+G32/C32</f>
        <v>-7.5000000000000002E-4</v>
      </c>
    </row>
    <row r="33" spans="1:8" ht="15.75" thickBot="1">
      <c r="A33" s="39"/>
      <c r="B33" s="23">
        <f t="shared" ref="B33:F33" si="6">SUM(B29:B32)</f>
        <v>8790</v>
      </c>
      <c r="C33" s="23">
        <f t="shared" si="6"/>
        <v>75500</v>
      </c>
      <c r="D33" s="23">
        <f t="shared" si="6"/>
        <v>75389</v>
      </c>
      <c r="E33" s="23">
        <f t="shared" si="6"/>
        <v>8901</v>
      </c>
      <c r="F33" s="23">
        <f t="shared" si="6"/>
        <v>8610</v>
      </c>
      <c r="G33" s="23">
        <f>SUM(G29:G32)</f>
        <v>-291</v>
      </c>
      <c r="H33" s="24">
        <f>+G33/C33</f>
        <v>-3.8543046357615894E-3</v>
      </c>
    </row>
    <row r="34" spans="1:8" ht="16.5" thickBot="1">
      <c r="A34" s="51" t="s">
        <v>19</v>
      </c>
      <c r="B34" s="27"/>
      <c r="C34" s="27"/>
      <c r="D34" s="27"/>
      <c r="E34" s="27"/>
      <c r="F34" s="27"/>
      <c r="G34" s="27"/>
      <c r="H34" s="41"/>
    </row>
    <row r="35" spans="1:8">
      <c r="A35" s="29" t="s">
        <v>20</v>
      </c>
      <c r="B35" s="30">
        <v>1596</v>
      </c>
      <c r="C35" s="30">
        <v>24500</v>
      </c>
      <c r="D35" s="31">
        <v>24121</v>
      </c>
      <c r="E35" s="30">
        <f>+B35+C35-D35</f>
        <v>1975</v>
      </c>
      <c r="F35" s="30">
        <v>1783</v>
      </c>
      <c r="G35" s="30">
        <f t="shared" ref="G35:G40" si="7">+F35-E35</f>
        <v>-192</v>
      </c>
      <c r="H35" s="33">
        <f t="shared" ref="H35:H40" si="8">+G35/C35</f>
        <v>-7.8367346938775506E-3</v>
      </c>
    </row>
    <row r="36" spans="1:8">
      <c r="A36" s="29" t="s">
        <v>12</v>
      </c>
      <c r="B36" s="34">
        <v>1429</v>
      </c>
      <c r="C36" s="34">
        <v>17500</v>
      </c>
      <c r="D36" s="35">
        <v>17756</v>
      </c>
      <c r="E36" s="34">
        <f t="shared" ref="E36:E40" si="9">+B36+C36-D36</f>
        <v>1173</v>
      </c>
      <c r="F36" s="34">
        <v>989</v>
      </c>
      <c r="G36" s="34">
        <f t="shared" si="7"/>
        <v>-184</v>
      </c>
      <c r="H36" s="37">
        <f t="shared" si="8"/>
        <v>-1.0514285714285714E-2</v>
      </c>
    </row>
    <row r="37" spans="1:8">
      <c r="A37" s="29" t="s">
        <v>13</v>
      </c>
      <c r="B37" s="34">
        <v>5536</v>
      </c>
      <c r="C37" s="34">
        <v>35400</v>
      </c>
      <c r="D37" s="35">
        <v>38275</v>
      </c>
      <c r="E37" s="34">
        <f>+B37+C37-D37</f>
        <v>2661</v>
      </c>
      <c r="F37" s="34">
        <v>2741</v>
      </c>
      <c r="G37" s="34">
        <f t="shared" si="7"/>
        <v>80</v>
      </c>
      <c r="H37" s="37">
        <f t="shared" si="8"/>
        <v>2.2598870056497176E-3</v>
      </c>
    </row>
    <row r="38" spans="1:8" ht="15.75" thickBot="1">
      <c r="A38" s="29" t="s">
        <v>14</v>
      </c>
      <c r="B38" s="38">
        <v>2264</v>
      </c>
      <c r="C38" s="34">
        <v>3000</v>
      </c>
      <c r="D38" s="43">
        <v>3023</v>
      </c>
      <c r="E38" s="34">
        <f>+B38+C38-D38</f>
        <v>2241</v>
      </c>
      <c r="F38" s="38">
        <v>2238</v>
      </c>
      <c r="G38" s="38">
        <f t="shared" si="7"/>
        <v>-3</v>
      </c>
      <c r="H38" s="44">
        <f t="shared" si="8"/>
        <v>-1E-3</v>
      </c>
    </row>
    <row r="39" spans="1:8" ht="15.75" thickBot="1">
      <c r="A39" s="39"/>
      <c r="B39" s="23">
        <f>SUM(B35:B38)</f>
        <v>10825</v>
      </c>
      <c r="C39" s="23">
        <f>SUM(C35:C38)</f>
        <v>80400</v>
      </c>
      <c r="D39" s="23">
        <f>SUM(D35:D38)</f>
        <v>83175</v>
      </c>
      <c r="E39" s="52">
        <f t="shared" si="9"/>
        <v>8050</v>
      </c>
      <c r="F39" s="23">
        <f>SUM(F35:F38)</f>
        <v>7751</v>
      </c>
      <c r="G39" s="52">
        <f>SUM(G35:G38)</f>
        <v>-299</v>
      </c>
      <c r="H39" s="53">
        <f t="shared" si="8"/>
        <v>-3.7189054726368157E-3</v>
      </c>
    </row>
    <row r="40" spans="1:8" ht="15.75" thickBot="1">
      <c r="A40" s="54" t="s">
        <v>21</v>
      </c>
      <c r="B40" s="45">
        <f>SUM(B11+B16+B21+B27+B33+B39)</f>
        <v>55878</v>
      </c>
      <c r="C40" s="45">
        <f>SUM(C11+C16+C21+C27+C33+C39)</f>
        <v>469900</v>
      </c>
      <c r="D40" s="45">
        <f>SUM(D11+D16+D21+D27+D33+D39)</f>
        <v>477769</v>
      </c>
      <c r="E40" s="23">
        <f t="shared" si="9"/>
        <v>48009</v>
      </c>
      <c r="F40" s="23">
        <f>SUM(F11+F16+F21+F27+F33+F39)</f>
        <v>45998</v>
      </c>
      <c r="G40" s="23">
        <f t="shared" si="7"/>
        <v>-2011</v>
      </c>
      <c r="H40" s="24">
        <f t="shared" si="8"/>
        <v>-4.2796339646733348E-3</v>
      </c>
    </row>
  </sheetData>
  <mergeCells count="1"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A22" workbookViewId="0">
      <selection activeCell="F46" sqref="F46"/>
    </sheetView>
  </sheetViews>
  <sheetFormatPr baseColWidth="10" defaultRowHeight="15"/>
  <cols>
    <col min="1" max="1" width="16.28515625" customWidth="1"/>
  </cols>
  <sheetData>
    <row r="1" spans="1:8" ht="22.5">
      <c r="A1" s="1" t="s">
        <v>0</v>
      </c>
      <c r="B1" s="1"/>
      <c r="C1" s="1"/>
      <c r="D1" s="1"/>
      <c r="E1" s="1"/>
      <c r="F1" s="1"/>
      <c r="G1" s="1"/>
      <c r="H1" s="1"/>
    </row>
    <row r="2" spans="1:8" ht="15.75">
      <c r="A2" s="2" t="s">
        <v>1</v>
      </c>
      <c r="B2" s="2"/>
      <c r="C2" s="2"/>
      <c r="D2" s="2"/>
      <c r="E2" s="2"/>
      <c r="F2" s="2"/>
      <c r="G2" s="2"/>
      <c r="H2" s="2"/>
    </row>
    <row r="3" spans="1:8" ht="15.75">
      <c r="A3" s="119" t="s">
        <v>75</v>
      </c>
      <c r="B3" s="119"/>
      <c r="C3" s="119"/>
      <c r="D3" s="119"/>
      <c r="E3" s="2"/>
      <c r="F3" s="2"/>
      <c r="G3" s="2"/>
      <c r="H3" s="2"/>
    </row>
    <row r="4" spans="1:8" ht="15.75" thickBot="1">
      <c r="A4" s="3"/>
      <c r="B4" s="3"/>
      <c r="C4" s="3"/>
      <c r="D4" s="3"/>
      <c r="E4" s="3"/>
      <c r="F4" s="3"/>
      <c r="G4" s="3"/>
      <c r="H4" s="3"/>
    </row>
    <row r="5" spans="1:8" ht="16.5" thickBot="1">
      <c r="A5" s="4" t="s">
        <v>2</v>
      </c>
      <c r="B5" s="5"/>
      <c r="C5" s="6"/>
      <c r="D5" s="6"/>
      <c r="E5" s="6"/>
      <c r="F5" s="6"/>
      <c r="G5" s="6"/>
      <c r="H5" s="7"/>
    </row>
    <row r="6" spans="1:8" ht="15.75" thickBot="1">
      <c r="A6" s="8" t="s">
        <v>3</v>
      </c>
      <c r="B6" s="9" t="s">
        <v>4</v>
      </c>
      <c r="C6" s="9" t="s">
        <v>5</v>
      </c>
      <c r="D6" s="10" t="s">
        <v>6</v>
      </c>
      <c r="E6" s="8" t="s">
        <v>7</v>
      </c>
      <c r="F6" s="11" t="s">
        <v>8</v>
      </c>
      <c r="G6" s="12" t="s">
        <v>9</v>
      </c>
      <c r="H6" s="12" t="s">
        <v>10</v>
      </c>
    </row>
    <row r="7" spans="1:8">
      <c r="A7" s="101" t="s">
        <v>11</v>
      </c>
      <c r="B7" s="14">
        <v>1794</v>
      </c>
      <c r="C7" s="14">
        <v>46500</v>
      </c>
      <c r="D7" s="15">
        <v>45802</v>
      </c>
      <c r="E7" s="102">
        <f>+B7+C7-D7</f>
        <v>2492</v>
      </c>
      <c r="F7" s="14">
        <v>2132</v>
      </c>
      <c r="G7" s="14">
        <f>+F7-E7</f>
        <v>-360</v>
      </c>
      <c r="H7" s="17">
        <f>+G7/C7</f>
        <v>-7.7419354838709677E-3</v>
      </c>
    </row>
    <row r="8" spans="1:8">
      <c r="A8" s="13" t="s">
        <v>12</v>
      </c>
      <c r="B8" s="18">
        <v>1432</v>
      </c>
      <c r="C8" s="18">
        <v>30000</v>
      </c>
      <c r="D8" s="103">
        <v>29953</v>
      </c>
      <c r="E8" s="16">
        <f>+B8+C8-D8</f>
        <v>1479</v>
      </c>
      <c r="F8" s="18">
        <v>1240</v>
      </c>
      <c r="G8" s="18">
        <f>+F8-E8</f>
        <v>-239</v>
      </c>
      <c r="H8" s="19">
        <f>+G8/C8</f>
        <v>-7.966666666666667E-3</v>
      </c>
    </row>
    <row r="9" spans="1:8">
      <c r="A9" s="13" t="s">
        <v>13</v>
      </c>
      <c r="B9" s="18">
        <v>1413</v>
      </c>
      <c r="C9" s="18">
        <v>36500</v>
      </c>
      <c r="D9" s="103">
        <v>34090</v>
      </c>
      <c r="E9" s="16">
        <f>+B9+C9-D9</f>
        <v>3823</v>
      </c>
      <c r="F9" s="18">
        <v>3891</v>
      </c>
      <c r="G9" s="18">
        <f>+F9-E9</f>
        <v>68</v>
      </c>
      <c r="H9" s="19">
        <f>+G9/C9</f>
        <v>1.863013698630137E-3</v>
      </c>
    </row>
    <row r="10" spans="1:8" ht="15.75" thickBot="1">
      <c r="A10" s="104" t="s">
        <v>14</v>
      </c>
      <c r="B10" s="20">
        <v>424</v>
      </c>
      <c r="C10" s="20">
        <v>9000</v>
      </c>
      <c r="D10" s="105">
        <v>8305</v>
      </c>
      <c r="E10" s="106">
        <f>+B10+C10-D10</f>
        <v>1119</v>
      </c>
      <c r="F10" s="20">
        <v>1345</v>
      </c>
      <c r="G10" s="20">
        <f>+F10-E10</f>
        <v>226</v>
      </c>
      <c r="H10" s="21">
        <f>+G10/C10</f>
        <v>2.5111111111111112E-2</v>
      </c>
    </row>
    <row r="11" spans="1:8" ht="15.75" thickBot="1">
      <c r="A11" s="22"/>
      <c r="B11" s="23">
        <f t="shared" ref="B11:F11" si="0">SUM(B7:B10)</f>
        <v>5063</v>
      </c>
      <c r="C11" s="23">
        <f t="shared" si="0"/>
        <v>122000</v>
      </c>
      <c r="D11" s="23">
        <f t="shared" si="0"/>
        <v>118150</v>
      </c>
      <c r="E11" s="23">
        <f t="shared" si="0"/>
        <v>8913</v>
      </c>
      <c r="F11" s="23">
        <f t="shared" si="0"/>
        <v>8608</v>
      </c>
      <c r="G11" s="23">
        <f>SUM(G7:G10)</f>
        <v>-305</v>
      </c>
      <c r="H11" s="24">
        <f>+G11/C11</f>
        <v>-2.5000000000000001E-3</v>
      </c>
    </row>
    <row r="12" spans="1:8" ht="16.5" thickBot="1">
      <c r="A12" s="25" t="s">
        <v>15</v>
      </c>
      <c r="B12" s="26"/>
      <c r="C12" s="27"/>
      <c r="D12" s="27"/>
      <c r="E12" s="27"/>
      <c r="F12" s="27"/>
      <c r="G12" s="27"/>
      <c r="H12" s="28"/>
    </row>
    <row r="13" spans="1:8">
      <c r="A13" s="99" t="s">
        <v>11</v>
      </c>
      <c r="B13" s="30">
        <v>3692</v>
      </c>
      <c r="C13" s="30">
        <v>34500</v>
      </c>
      <c r="D13" s="31">
        <v>36475</v>
      </c>
      <c r="E13" s="30">
        <f>+B13+C13-D13</f>
        <v>1717</v>
      </c>
      <c r="F13" s="30">
        <v>1476</v>
      </c>
      <c r="G13" s="32">
        <f>+F13-E13</f>
        <v>-241</v>
      </c>
      <c r="H13" s="33">
        <f>+G13/C13</f>
        <v>-6.9855072463768115E-3</v>
      </c>
    </row>
    <row r="14" spans="1:8">
      <c r="A14" s="29" t="s">
        <v>12</v>
      </c>
      <c r="B14" s="34">
        <v>1822</v>
      </c>
      <c r="C14" s="34">
        <v>17500</v>
      </c>
      <c r="D14" s="35">
        <v>17235</v>
      </c>
      <c r="E14" s="34">
        <f>+B14+C14-D14</f>
        <v>2087</v>
      </c>
      <c r="F14" s="34">
        <v>1953</v>
      </c>
      <c r="G14" s="88">
        <f>+F14-E14</f>
        <v>-134</v>
      </c>
      <c r="H14" s="37">
        <f>+G14/C14</f>
        <v>-7.6571428571428572E-3</v>
      </c>
    </row>
    <row r="15" spans="1:8" ht="15.75" thickBot="1">
      <c r="A15" s="100" t="s">
        <v>13</v>
      </c>
      <c r="B15" s="38">
        <v>2733</v>
      </c>
      <c r="C15" s="38">
        <v>29500</v>
      </c>
      <c r="D15" s="43">
        <v>29551</v>
      </c>
      <c r="E15" s="38">
        <f>+B15+C15-D15</f>
        <v>2682</v>
      </c>
      <c r="F15" s="38">
        <v>2714</v>
      </c>
      <c r="G15" s="42">
        <f>+F15-E15</f>
        <v>32</v>
      </c>
      <c r="H15" s="44">
        <f>+G15/C15</f>
        <v>1.0847457627118644E-3</v>
      </c>
    </row>
    <row r="16" spans="1:8" ht="15.75" thickBot="1">
      <c r="A16" s="39"/>
      <c r="B16" s="23">
        <f t="shared" ref="B16:F16" si="1">SUM(B13:B15)</f>
        <v>8247</v>
      </c>
      <c r="C16" s="23">
        <f t="shared" si="1"/>
        <v>81500</v>
      </c>
      <c r="D16" s="23">
        <f t="shared" si="1"/>
        <v>83261</v>
      </c>
      <c r="E16" s="23">
        <f t="shared" si="1"/>
        <v>6486</v>
      </c>
      <c r="F16" s="23">
        <f t="shared" si="1"/>
        <v>6143</v>
      </c>
      <c r="G16" s="23">
        <f>SUM(G13:G15)</f>
        <v>-343</v>
      </c>
      <c r="H16" s="24">
        <f>+G16/C16</f>
        <v>-4.2085889570552147E-3</v>
      </c>
    </row>
    <row r="17" spans="1:8" ht="16.5" thickBot="1">
      <c r="A17" s="25" t="s">
        <v>16</v>
      </c>
      <c r="B17" s="40"/>
      <c r="C17" s="40"/>
      <c r="D17" s="40"/>
      <c r="E17" s="40"/>
      <c r="F17" s="40"/>
      <c r="G17" s="40"/>
      <c r="H17" s="41"/>
    </row>
    <row r="18" spans="1:8">
      <c r="A18" s="99" t="s">
        <v>11</v>
      </c>
      <c r="B18" s="32">
        <v>1691</v>
      </c>
      <c r="C18" s="30">
        <v>6000</v>
      </c>
      <c r="D18" s="31">
        <v>6491</v>
      </c>
      <c r="E18" s="30">
        <f>+B18+C18-D18</f>
        <v>1200</v>
      </c>
      <c r="F18" s="32">
        <v>1153</v>
      </c>
      <c r="G18" s="30">
        <f>+F18-E18</f>
        <v>-47</v>
      </c>
      <c r="H18" s="33">
        <f>+G18/C18</f>
        <v>-7.8333333333333328E-3</v>
      </c>
    </row>
    <row r="19" spans="1:8">
      <c r="A19" s="29" t="s">
        <v>13</v>
      </c>
      <c r="B19" s="88">
        <v>3994</v>
      </c>
      <c r="C19" s="34">
        <v>27000</v>
      </c>
      <c r="D19" s="35">
        <v>27590</v>
      </c>
      <c r="E19" s="34">
        <f>+B19+C19-D19</f>
        <v>3404</v>
      </c>
      <c r="F19" s="88">
        <v>3418</v>
      </c>
      <c r="G19" s="34">
        <f>+F19-E19</f>
        <v>14</v>
      </c>
      <c r="H19" s="37">
        <f>+G19/C19</f>
        <v>5.1851851851851853E-4</v>
      </c>
    </row>
    <row r="20" spans="1:8" ht="15.75" thickBot="1">
      <c r="A20" s="100" t="s">
        <v>14</v>
      </c>
      <c r="B20" s="43">
        <v>901</v>
      </c>
      <c r="C20" s="38"/>
      <c r="D20" s="43"/>
      <c r="E20" s="38">
        <f>+B20+C20-D20</f>
        <v>901</v>
      </c>
      <c r="F20" s="42">
        <v>901</v>
      </c>
      <c r="G20" s="38">
        <f>+F20-E20</f>
        <v>0</v>
      </c>
      <c r="H20" s="44">
        <v>0</v>
      </c>
    </row>
    <row r="21" spans="1:8" ht="15.75" thickBot="1">
      <c r="A21" s="39"/>
      <c r="B21" s="45">
        <f t="shared" ref="B21:F21" si="2">SUM(B18:B20)</f>
        <v>6586</v>
      </c>
      <c r="C21" s="45">
        <f t="shared" si="2"/>
        <v>33000</v>
      </c>
      <c r="D21" s="45">
        <f t="shared" si="2"/>
        <v>34081</v>
      </c>
      <c r="E21" s="45">
        <f t="shared" si="2"/>
        <v>5505</v>
      </c>
      <c r="F21" s="45">
        <f t="shared" si="2"/>
        <v>5472</v>
      </c>
      <c r="G21" s="45">
        <f>SUM(G18:G20)</f>
        <v>-33</v>
      </c>
      <c r="H21" s="46">
        <f>+G21/C21</f>
        <v>-1E-3</v>
      </c>
    </row>
    <row r="22" spans="1:8" ht="16.5" thickBot="1">
      <c r="A22" s="47" t="s">
        <v>17</v>
      </c>
      <c r="B22" s="40"/>
      <c r="C22" s="40"/>
      <c r="D22" s="40"/>
      <c r="E22" s="40"/>
      <c r="F22" s="40"/>
      <c r="G22" s="40"/>
      <c r="H22" s="41"/>
    </row>
    <row r="23" spans="1:8">
      <c r="A23" s="29" t="s">
        <v>11</v>
      </c>
      <c r="B23" s="48">
        <v>2003</v>
      </c>
      <c r="C23" s="30">
        <v>12500</v>
      </c>
      <c r="D23" s="31">
        <v>13893</v>
      </c>
      <c r="E23" s="30">
        <f>+B23+C23-D23</f>
        <v>610</v>
      </c>
      <c r="F23" s="48">
        <v>327</v>
      </c>
      <c r="G23" s="30">
        <f>+F23-E23</f>
        <v>-283</v>
      </c>
      <c r="H23" s="33">
        <f>+G23/C23</f>
        <v>-2.264E-2</v>
      </c>
    </row>
    <row r="24" spans="1:8">
      <c r="A24" s="29" t="s">
        <v>12</v>
      </c>
      <c r="B24" s="49">
        <v>1287</v>
      </c>
      <c r="C24" s="34">
        <v>9500</v>
      </c>
      <c r="D24" s="35">
        <v>10030</v>
      </c>
      <c r="E24" s="34">
        <f t="shared" ref="E24:E26" si="3">+B24+C24-D24</f>
        <v>757</v>
      </c>
      <c r="F24" s="49">
        <v>677</v>
      </c>
      <c r="G24" s="34">
        <f>+F24-E24</f>
        <v>-80</v>
      </c>
      <c r="H24" s="37">
        <f>+G24/C24</f>
        <v>-8.4210526315789472E-3</v>
      </c>
    </row>
    <row r="25" spans="1:8">
      <c r="A25" s="29" t="s">
        <v>13</v>
      </c>
      <c r="B25" s="49">
        <v>4982</v>
      </c>
      <c r="C25" s="34">
        <v>35500</v>
      </c>
      <c r="D25" s="35">
        <v>38745</v>
      </c>
      <c r="E25" s="34">
        <f t="shared" si="3"/>
        <v>1737</v>
      </c>
      <c r="F25" s="49">
        <v>1855</v>
      </c>
      <c r="G25" s="34">
        <f>+F25-E25</f>
        <v>118</v>
      </c>
      <c r="H25" s="37">
        <f>+G25/C25</f>
        <v>3.3239436619718309E-3</v>
      </c>
    </row>
    <row r="26" spans="1:8" ht="15.75" thickBot="1">
      <c r="A26" s="29" t="s">
        <v>14</v>
      </c>
      <c r="B26" s="50">
        <v>1469</v>
      </c>
      <c r="C26" s="38">
        <v>10000</v>
      </c>
      <c r="D26" s="43">
        <v>9482</v>
      </c>
      <c r="E26" s="38">
        <f t="shared" si="3"/>
        <v>1987</v>
      </c>
      <c r="F26" s="50">
        <v>2346</v>
      </c>
      <c r="G26" s="38">
        <f>+F26-E26</f>
        <v>359</v>
      </c>
      <c r="H26" s="44">
        <f>+G26/C26</f>
        <v>3.5900000000000001E-2</v>
      </c>
    </row>
    <row r="27" spans="1:8" ht="15.75" thickBot="1">
      <c r="A27" s="39"/>
      <c r="B27" s="23">
        <f t="shared" ref="B27:G27" si="4">SUM(B23:B26)</f>
        <v>9741</v>
      </c>
      <c r="C27" s="23">
        <f t="shared" si="4"/>
        <v>67500</v>
      </c>
      <c r="D27" s="23">
        <f t="shared" si="4"/>
        <v>72150</v>
      </c>
      <c r="E27" s="23">
        <f t="shared" si="4"/>
        <v>5091</v>
      </c>
      <c r="F27" s="45">
        <f t="shared" si="4"/>
        <v>5205</v>
      </c>
      <c r="G27" s="23">
        <f t="shared" si="4"/>
        <v>114</v>
      </c>
      <c r="H27" s="24">
        <f>+G27/C27</f>
        <v>1.6888888888888889E-3</v>
      </c>
    </row>
    <row r="28" spans="1:8" ht="16.5" thickBot="1">
      <c r="A28" s="51" t="s">
        <v>18</v>
      </c>
      <c r="B28" s="27"/>
      <c r="C28" s="27"/>
      <c r="D28" s="27"/>
      <c r="E28" s="27"/>
      <c r="F28" s="27"/>
      <c r="G28" s="27"/>
      <c r="H28" s="41"/>
    </row>
    <row r="29" spans="1:8">
      <c r="A29" s="29" t="s">
        <v>11</v>
      </c>
      <c r="B29" s="30">
        <v>2712</v>
      </c>
      <c r="C29" s="30">
        <v>26500</v>
      </c>
      <c r="D29" s="31">
        <v>26508</v>
      </c>
      <c r="E29" s="30">
        <f>+B29+C29-D29</f>
        <v>2704</v>
      </c>
      <c r="F29" s="30">
        <v>2547</v>
      </c>
      <c r="G29" s="32">
        <f>+F29-E29</f>
        <v>-157</v>
      </c>
      <c r="H29" s="33">
        <f>+G29/C29</f>
        <v>-5.9245283018867926E-3</v>
      </c>
    </row>
    <row r="30" spans="1:8">
      <c r="A30" s="29" t="s">
        <v>12</v>
      </c>
      <c r="B30" s="34">
        <v>1833</v>
      </c>
      <c r="C30" s="34">
        <v>18500</v>
      </c>
      <c r="D30" s="35">
        <v>18632</v>
      </c>
      <c r="E30" s="34">
        <f t="shared" ref="E30:E32" si="5">+B30+C30-D30</f>
        <v>1701</v>
      </c>
      <c r="F30" s="34">
        <v>1546</v>
      </c>
      <c r="G30" s="36">
        <f>+F30-E30</f>
        <v>-155</v>
      </c>
      <c r="H30" s="37">
        <f>+G30/C30</f>
        <v>-8.3783783783783778E-3</v>
      </c>
    </row>
    <row r="31" spans="1:8">
      <c r="A31" s="29" t="s">
        <v>13</v>
      </c>
      <c r="B31" s="34">
        <v>2514</v>
      </c>
      <c r="C31" s="34">
        <v>29000</v>
      </c>
      <c r="D31" s="35">
        <v>28490</v>
      </c>
      <c r="E31" s="34">
        <f t="shared" si="5"/>
        <v>3024</v>
      </c>
      <c r="F31" s="34">
        <v>3029</v>
      </c>
      <c r="G31" s="36">
        <f>+F31-E31</f>
        <v>5</v>
      </c>
      <c r="H31" s="37">
        <f>+G31/C31</f>
        <v>1.7241379310344826E-4</v>
      </c>
    </row>
    <row r="32" spans="1:8" ht="15.75" thickBot="1">
      <c r="A32" s="29" t="s">
        <v>14</v>
      </c>
      <c r="B32" s="38">
        <v>1551</v>
      </c>
      <c r="C32" s="34">
        <v>3000</v>
      </c>
      <c r="D32" s="43">
        <v>3874</v>
      </c>
      <c r="E32" s="34">
        <f t="shared" si="5"/>
        <v>677</v>
      </c>
      <c r="F32" s="38">
        <v>643</v>
      </c>
      <c r="G32" s="36">
        <f>+F32-E32</f>
        <v>-34</v>
      </c>
      <c r="H32" s="37">
        <f>+G32/C32</f>
        <v>-1.1333333333333334E-2</v>
      </c>
    </row>
    <row r="33" spans="1:8" ht="15.75" thickBot="1">
      <c r="A33" s="39"/>
      <c r="B33" s="23">
        <f t="shared" ref="B33:F33" si="6">SUM(B29:B32)</f>
        <v>8610</v>
      </c>
      <c r="C33" s="23">
        <f t="shared" si="6"/>
        <v>77000</v>
      </c>
      <c r="D33" s="23">
        <f t="shared" si="6"/>
        <v>77504</v>
      </c>
      <c r="E33" s="23">
        <f t="shared" si="6"/>
        <v>8106</v>
      </c>
      <c r="F33" s="23">
        <f t="shared" si="6"/>
        <v>7765</v>
      </c>
      <c r="G33" s="23">
        <f>SUM(G29:G32)</f>
        <v>-341</v>
      </c>
      <c r="H33" s="24">
        <f>+G33/C33</f>
        <v>-4.4285714285714284E-3</v>
      </c>
    </row>
    <row r="34" spans="1:8" ht="16.5" thickBot="1">
      <c r="A34" s="51" t="s">
        <v>19</v>
      </c>
      <c r="B34" s="27"/>
      <c r="C34" s="27"/>
      <c r="D34" s="27"/>
      <c r="E34" s="27"/>
      <c r="F34" s="27"/>
      <c r="G34" s="27"/>
      <c r="H34" s="41"/>
    </row>
    <row r="35" spans="1:8">
      <c r="A35" s="29" t="s">
        <v>20</v>
      </c>
      <c r="B35" s="30">
        <v>1783</v>
      </c>
      <c r="C35" s="30">
        <v>23500</v>
      </c>
      <c r="D35" s="31">
        <v>24032</v>
      </c>
      <c r="E35" s="30">
        <f>+B35+C35-D35</f>
        <v>1251</v>
      </c>
      <c r="F35" s="30">
        <v>1045</v>
      </c>
      <c r="G35" s="30">
        <f t="shared" ref="G35:G40" si="7">+F35-E35</f>
        <v>-206</v>
      </c>
      <c r="H35" s="33">
        <f t="shared" ref="H35:H40" si="8">+G35/C35</f>
        <v>-8.7659574468085099E-3</v>
      </c>
    </row>
    <row r="36" spans="1:8">
      <c r="A36" s="29" t="s">
        <v>12</v>
      </c>
      <c r="B36" s="34">
        <v>989</v>
      </c>
      <c r="C36" s="34">
        <v>17500</v>
      </c>
      <c r="D36" s="35">
        <v>17466</v>
      </c>
      <c r="E36" s="34">
        <f t="shared" ref="E36:E40" si="9">+B36+C36-D36</f>
        <v>1023</v>
      </c>
      <c r="F36" s="34">
        <v>853</v>
      </c>
      <c r="G36" s="34">
        <f t="shared" si="7"/>
        <v>-170</v>
      </c>
      <c r="H36" s="37">
        <f t="shared" si="8"/>
        <v>-9.7142857142857135E-3</v>
      </c>
    </row>
    <row r="37" spans="1:8">
      <c r="A37" s="29" t="s">
        <v>13</v>
      </c>
      <c r="B37" s="34">
        <v>2741</v>
      </c>
      <c r="C37" s="34">
        <v>37500</v>
      </c>
      <c r="D37" s="35">
        <v>36693</v>
      </c>
      <c r="E37" s="34">
        <f>+B37+C37-D37</f>
        <v>3548</v>
      </c>
      <c r="F37" s="34">
        <v>3563</v>
      </c>
      <c r="G37" s="34">
        <f t="shared" si="7"/>
        <v>15</v>
      </c>
      <c r="H37" s="37">
        <f t="shared" si="8"/>
        <v>4.0000000000000002E-4</v>
      </c>
    </row>
    <row r="38" spans="1:8" ht="15.75" thickBot="1">
      <c r="A38" s="29" t="s">
        <v>14</v>
      </c>
      <c r="B38" s="38">
        <v>2238</v>
      </c>
      <c r="C38" s="34">
        <v>3000</v>
      </c>
      <c r="D38" s="43">
        <v>3493</v>
      </c>
      <c r="E38" s="34">
        <f>+B38+C38-D38</f>
        <v>1745</v>
      </c>
      <c r="F38" s="38">
        <v>1791</v>
      </c>
      <c r="G38" s="38">
        <f t="shared" si="7"/>
        <v>46</v>
      </c>
      <c r="H38" s="44">
        <f t="shared" si="8"/>
        <v>1.5333333333333332E-2</v>
      </c>
    </row>
    <row r="39" spans="1:8" ht="15.75" thickBot="1">
      <c r="A39" s="39"/>
      <c r="B39" s="23">
        <f>SUM(B35:B38)</f>
        <v>7751</v>
      </c>
      <c r="C39" s="23">
        <f>SUM(C35:C38)</f>
        <v>81500</v>
      </c>
      <c r="D39" s="23">
        <f>SUM(D35:D38)</f>
        <v>81684</v>
      </c>
      <c r="E39" s="52">
        <f t="shared" si="9"/>
        <v>7567</v>
      </c>
      <c r="F39" s="23">
        <f>SUM(F35:F38)</f>
        <v>7252</v>
      </c>
      <c r="G39" s="52">
        <f>SUM(G35:G38)</f>
        <v>-315</v>
      </c>
      <c r="H39" s="53">
        <f t="shared" si="8"/>
        <v>-3.8650306748466258E-3</v>
      </c>
    </row>
    <row r="40" spans="1:8" ht="15.75" thickBot="1">
      <c r="A40" s="54" t="s">
        <v>21</v>
      </c>
      <c r="B40" s="45">
        <f>SUM(B11+B16+B21+B27+B33+B39)</f>
        <v>45998</v>
      </c>
      <c r="C40" s="45">
        <f>SUM(C11+C16+C21+C27+C33+C39)</f>
        <v>462500</v>
      </c>
      <c r="D40" s="45">
        <f>SUM(D11+D16+D21+D27+D33+D39)</f>
        <v>466830</v>
      </c>
      <c r="E40" s="23">
        <f t="shared" si="9"/>
        <v>41668</v>
      </c>
      <c r="F40" s="23">
        <f>SUM(F11+F16+F21+F27+F33+F39)</f>
        <v>40445</v>
      </c>
      <c r="G40" s="23">
        <f t="shared" si="7"/>
        <v>-1223</v>
      </c>
      <c r="H40" s="24">
        <f t="shared" si="8"/>
        <v>-2.6443243243243243E-3</v>
      </c>
    </row>
  </sheetData>
  <mergeCells count="1"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40" workbookViewId="0">
      <selection activeCell="C43" sqref="C43"/>
    </sheetView>
  </sheetViews>
  <sheetFormatPr baseColWidth="10" defaultRowHeight="15"/>
  <sheetData>
    <row r="1" spans="1:14" ht="22.5">
      <c r="A1" s="55"/>
      <c r="B1" s="120" t="s">
        <v>22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</row>
    <row r="2" spans="1:14" ht="15.75">
      <c r="A2" s="56"/>
      <c r="B2" s="121" t="s">
        <v>23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57"/>
    </row>
    <row r="3" spans="1:14" ht="15.75">
      <c r="A3" s="56"/>
      <c r="B3" s="121" t="s">
        <v>72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57"/>
    </row>
    <row r="4" spans="1:14" ht="15.75" thickBot="1"/>
    <row r="5" spans="1:14" ht="15.75">
      <c r="A5" s="115" t="s">
        <v>25</v>
      </c>
      <c r="B5" s="108" t="s">
        <v>26</v>
      </c>
      <c r="C5" s="108" t="s">
        <v>27</v>
      </c>
      <c r="D5" s="108" t="s">
        <v>28</v>
      </c>
      <c r="E5" s="108" t="s">
        <v>29</v>
      </c>
      <c r="F5" s="108" t="s">
        <v>30</v>
      </c>
      <c r="G5" s="108" t="s">
        <v>31</v>
      </c>
      <c r="H5" s="108" t="s">
        <v>32</v>
      </c>
      <c r="I5" s="108" t="s">
        <v>33</v>
      </c>
      <c r="J5" s="108" t="s">
        <v>34</v>
      </c>
      <c r="K5" s="108" t="s">
        <v>35</v>
      </c>
      <c r="L5" s="108" t="s">
        <v>36</v>
      </c>
      <c r="M5" s="108" t="s">
        <v>37</v>
      </c>
      <c r="N5" s="109" t="s">
        <v>38</v>
      </c>
    </row>
    <row r="6" spans="1:14">
      <c r="A6" s="118" t="s">
        <v>39</v>
      </c>
      <c r="B6" s="110">
        <v>51845</v>
      </c>
      <c r="C6" s="111">
        <v>45802</v>
      </c>
      <c r="D6" s="112"/>
      <c r="E6" s="112"/>
      <c r="F6" s="111"/>
      <c r="G6" s="111"/>
      <c r="H6" s="111"/>
      <c r="I6" s="113"/>
      <c r="J6" s="111"/>
      <c r="K6" s="111"/>
      <c r="L6" s="111"/>
      <c r="M6" s="111"/>
      <c r="N6" s="114">
        <f>SUM(B6:M6)</f>
        <v>97647</v>
      </c>
    </row>
    <row r="7" spans="1:14">
      <c r="A7" s="118" t="s">
        <v>12</v>
      </c>
      <c r="B7" s="110">
        <v>32911</v>
      </c>
      <c r="C7" s="111">
        <v>29953</v>
      </c>
      <c r="D7" s="112"/>
      <c r="E7" s="112"/>
      <c r="F7" s="111"/>
      <c r="G7" s="111"/>
      <c r="H7" s="111"/>
      <c r="I7" s="113"/>
      <c r="J7" s="111"/>
      <c r="K7" s="111"/>
      <c r="L7" s="111"/>
      <c r="M7" s="111"/>
      <c r="N7" s="114">
        <f>SUM(B7:M7)</f>
        <v>62864</v>
      </c>
    </row>
    <row r="8" spans="1:14">
      <c r="A8" s="118" t="s">
        <v>13</v>
      </c>
      <c r="B8" s="110">
        <v>34895</v>
      </c>
      <c r="C8" s="111">
        <v>34090</v>
      </c>
      <c r="D8" s="112"/>
      <c r="E8" s="112"/>
      <c r="F8" s="111"/>
      <c r="G8" s="111"/>
      <c r="H8" s="111"/>
      <c r="I8" s="113"/>
      <c r="J8" s="111"/>
      <c r="K8" s="111"/>
      <c r="L8" s="111"/>
      <c r="M8" s="111"/>
      <c r="N8" s="114">
        <f>SUM(B8:M8)</f>
        <v>68985</v>
      </c>
    </row>
    <row r="9" spans="1:14">
      <c r="A9" s="118" t="s">
        <v>14</v>
      </c>
      <c r="B9" s="110">
        <v>7477</v>
      </c>
      <c r="C9" s="111">
        <v>8305</v>
      </c>
      <c r="D9" s="112"/>
      <c r="E9" s="112"/>
      <c r="F9" s="111"/>
      <c r="G9" s="111"/>
      <c r="H9" s="111"/>
      <c r="I9" s="113"/>
      <c r="J9" s="111"/>
      <c r="K9" s="111"/>
      <c r="L9" s="111"/>
      <c r="M9" s="111"/>
      <c r="N9" s="114">
        <f>SUM(B9:M9)</f>
        <v>15782</v>
      </c>
    </row>
    <row r="10" spans="1:14">
      <c r="A10" s="59"/>
      <c r="B10" s="60">
        <f>SUM(B6:B9)</f>
        <v>127128</v>
      </c>
      <c r="C10" s="60">
        <f>SUM(C6:C9)</f>
        <v>118150</v>
      </c>
      <c r="D10" s="60">
        <f t="shared" ref="D10:N10" si="0">SUM(D6:D9)</f>
        <v>0</v>
      </c>
      <c r="E10" s="61">
        <f t="shared" si="0"/>
        <v>0</v>
      </c>
      <c r="F10" s="61">
        <f t="shared" si="0"/>
        <v>0</v>
      </c>
      <c r="G10" s="61">
        <f t="shared" si="0"/>
        <v>0</v>
      </c>
      <c r="H10" s="61">
        <f t="shared" si="0"/>
        <v>0</v>
      </c>
      <c r="I10" s="61">
        <f t="shared" si="0"/>
        <v>0</v>
      </c>
      <c r="J10" s="61">
        <f t="shared" si="0"/>
        <v>0</v>
      </c>
      <c r="K10" s="61">
        <f t="shared" si="0"/>
        <v>0</v>
      </c>
      <c r="L10" s="61">
        <f t="shared" si="0"/>
        <v>0</v>
      </c>
      <c r="M10" s="61">
        <f t="shared" si="0"/>
        <v>0</v>
      </c>
      <c r="N10" s="62">
        <f t="shared" si="0"/>
        <v>245278</v>
      </c>
    </row>
    <row r="11" spans="1:14">
      <c r="A11" s="63" t="s">
        <v>40</v>
      </c>
      <c r="B11" s="64">
        <v>142000</v>
      </c>
      <c r="C11" s="64">
        <v>140000</v>
      </c>
      <c r="D11" s="64">
        <v>155000</v>
      </c>
      <c r="E11" s="64">
        <v>140000</v>
      </c>
      <c r="F11" s="64">
        <v>155000</v>
      </c>
      <c r="G11" s="64">
        <v>141000</v>
      </c>
      <c r="H11" s="64">
        <v>146000</v>
      </c>
      <c r="I11" s="64">
        <v>148000</v>
      </c>
      <c r="J11" s="64">
        <v>144000</v>
      </c>
      <c r="K11" s="64">
        <v>140000</v>
      </c>
      <c r="L11" s="64">
        <v>144000</v>
      </c>
      <c r="M11" s="64">
        <v>150000</v>
      </c>
      <c r="N11" s="65">
        <f>SUM(B11:M11)</f>
        <v>1745000</v>
      </c>
    </row>
    <row r="12" spans="1:14">
      <c r="A12" s="59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7"/>
    </row>
    <row r="13" spans="1:14" ht="15.75" thickBot="1">
      <c r="A13" s="58"/>
      <c r="N13" s="68"/>
    </row>
    <row r="14" spans="1:14" ht="15.75">
      <c r="A14" s="115" t="s">
        <v>41</v>
      </c>
      <c r="B14" s="108" t="s">
        <v>26</v>
      </c>
      <c r="C14" s="108" t="s">
        <v>27</v>
      </c>
      <c r="D14" s="108" t="s">
        <v>28</v>
      </c>
      <c r="E14" s="108" t="s">
        <v>29</v>
      </c>
      <c r="F14" s="108" t="s">
        <v>30</v>
      </c>
      <c r="G14" s="108" t="s">
        <v>31</v>
      </c>
      <c r="H14" s="108" t="s">
        <v>32</v>
      </c>
      <c r="I14" s="108" t="s">
        <v>33</v>
      </c>
      <c r="J14" s="108" t="s">
        <v>34</v>
      </c>
      <c r="K14" s="108" t="s">
        <v>35</v>
      </c>
      <c r="L14" s="108" t="s">
        <v>36</v>
      </c>
      <c r="M14" s="108" t="s">
        <v>37</v>
      </c>
      <c r="N14" s="109" t="s">
        <v>38</v>
      </c>
    </row>
    <row r="15" spans="1:14">
      <c r="A15" s="118" t="s">
        <v>39</v>
      </c>
      <c r="B15" s="110">
        <v>38769</v>
      </c>
      <c r="C15" s="110">
        <v>36475</v>
      </c>
      <c r="D15" s="112"/>
      <c r="E15" s="112"/>
      <c r="F15" s="113"/>
      <c r="G15" s="113"/>
      <c r="H15" s="113"/>
      <c r="I15" s="113"/>
      <c r="J15" s="113"/>
      <c r="K15" s="113"/>
      <c r="L15" s="113"/>
      <c r="M15" s="113"/>
      <c r="N15" s="114">
        <f>SUM(B15:M15)</f>
        <v>75244</v>
      </c>
    </row>
    <row r="16" spans="1:14">
      <c r="A16" s="118" t="s">
        <v>12</v>
      </c>
      <c r="B16" s="110">
        <v>18608</v>
      </c>
      <c r="C16" s="110">
        <v>17235</v>
      </c>
      <c r="D16" s="112"/>
      <c r="E16" s="112"/>
      <c r="F16" s="113"/>
      <c r="G16" s="113"/>
      <c r="H16" s="113"/>
      <c r="I16" s="113"/>
      <c r="J16" s="113"/>
      <c r="K16" s="113"/>
      <c r="L16" s="113"/>
      <c r="M16" s="113"/>
      <c r="N16" s="114">
        <f>SUM(B16:M16)</f>
        <v>35843</v>
      </c>
    </row>
    <row r="17" spans="1:14">
      <c r="A17" s="118" t="s">
        <v>13</v>
      </c>
      <c r="B17" s="110">
        <v>30987</v>
      </c>
      <c r="C17" s="110">
        <v>29551</v>
      </c>
      <c r="D17" s="112"/>
      <c r="E17" s="112"/>
      <c r="F17" s="113"/>
      <c r="G17" s="113"/>
      <c r="H17" s="113"/>
      <c r="I17" s="113"/>
      <c r="J17" s="113"/>
      <c r="K17" s="113"/>
      <c r="L17" s="113"/>
      <c r="M17" s="113"/>
      <c r="N17" s="114">
        <f>SUM(B17:M17)</f>
        <v>60538</v>
      </c>
    </row>
    <row r="18" spans="1:14">
      <c r="A18" s="72"/>
      <c r="B18" s="61">
        <f t="shared" ref="B18:N18" si="1">SUM(B15:B17)</f>
        <v>88364</v>
      </c>
      <c r="C18" s="61">
        <f t="shared" si="1"/>
        <v>83261</v>
      </c>
      <c r="D18" s="61">
        <f t="shared" si="1"/>
        <v>0</v>
      </c>
      <c r="E18" s="61">
        <f t="shared" si="1"/>
        <v>0</v>
      </c>
      <c r="F18" s="61">
        <f t="shared" si="1"/>
        <v>0</v>
      </c>
      <c r="G18" s="61">
        <f t="shared" si="1"/>
        <v>0</v>
      </c>
      <c r="H18" s="61">
        <f t="shared" si="1"/>
        <v>0</v>
      </c>
      <c r="I18" s="61">
        <f t="shared" si="1"/>
        <v>0</v>
      </c>
      <c r="J18" s="61">
        <f t="shared" si="1"/>
        <v>0</v>
      </c>
      <c r="K18" s="61">
        <f t="shared" si="1"/>
        <v>0</v>
      </c>
      <c r="L18" s="61">
        <f t="shared" si="1"/>
        <v>0</v>
      </c>
      <c r="M18" s="61">
        <f t="shared" si="1"/>
        <v>0</v>
      </c>
      <c r="N18" s="61">
        <f t="shared" si="1"/>
        <v>171625</v>
      </c>
    </row>
    <row r="19" spans="1:14">
      <c r="A19" s="63" t="s">
        <v>40</v>
      </c>
      <c r="B19" s="64">
        <v>114000</v>
      </c>
      <c r="C19" s="64">
        <v>114000</v>
      </c>
      <c r="D19" s="64">
        <v>127000</v>
      </c>
      <c r="E19" s="64">
        <v>118000</v>
      </c>
      <c r="F19" s="64">
        <v>138000</v>
      </c>
      <c r="G19" s="64">
        <v>112000</v>
      </c>
      <c r="H19" s="64">
        <v>120000</v>
      </c>
      <c r="I19" s="64">
        <v>123000</v>
      </c>
      <c r="J19" s="64">
        <v>120000</v>
      </c>
      <c r="K19" s="64">
        <v>110000</v>
      </c>
      <c r="L19" s="64">
        <v>116000</v>
      </c>
      <c r="M19" s="64">
        <v>128000</v>
      </c>
      <c r="N19" s="65">
        <f>SUM(B19:M19)</f>
        <v>1440000</v>
      </c>
    </row>
    <row r="20" spans="1:14">
      <c r="A20" s="59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7"/>
    </row>
    <row r="21" spans="1:14" ht="15.75" thickBot="1">
      <c r="A21" s="58"/>
      <c r="N21" s="68"/>
    </row>
    <row r="22" spans="1:14" ht="15.75">
      <c r="A22" s="115" t="s">
        <v>42</v>
      </c>
      <c r="B22" s="108" t="s">
        <v>26</v>
      </c>
      <c r="C22" s="108" t="s">
        <v>27</v>
      </c>
      <c r="D22" s="108" t="s">
        <v>28</v>
      </c>
      <c r="E22" s="108" t="s">
        <v>29</v>
      </c>
      <c r="F22" s="108" t="s">
        <v>30</v>
      </c>
      <c r="G22" s="108" t="s">
        <v>31</v>
      </c>
      <c r="H22" s="108" t="s">
        <v>32</v>
      </c>
      <c r="I22" s="108" t="s">
        <v>33</v>
      </c>
      <c r="J22" s="108" t="s">
        <v>34</v>
      </c>
      <c r="K22" s="108" t="s">
        <v>35</v>
      </c>
      <c r="L22" s="108" t="s">
        <v>36</v>
      </c>
      <c r="M22" s="108" t="s">
        <v>37</v>
      </c>
      <c r="N22" s="109" t="s">
        <v>38</v>
      </c>
    </row>
    <row r="23" spans="1:14">
      <c r="A23" s="118" t="s">
        <v>39</v>
      </c>
      <c r="B23" s="110">
        <v>6084</v>
      </c>
      <c r="C23" s="110">
        <v>6491</v>
      </c>
      <c r="D23" s="112"/>
      <c r="E23" s="112"/>
      <c r="F23" s="113"/>
      <c r="G23" s="113"/>
      <c r="H23" s="113"/>
      <c r="I23" s="113"/>
      <c r="J23" s="113"/>
      <c r="K23" s="113"/>
      <c r="L23" s="113"/>
      <c r="M23" s="113"/>
      <c r="N23" s="114">
        <f>SUM(B23:M23)</f>
        <v>12575</v>
      </c>
    </row>
    <row r="24" spans="1:14">
      <c r="A24" s="118" t="s">
        <v>13</v>
      </c>
      <c r="B24" s="110">
        <v>25298</v>
      </c>
      <c r="C24" s="110">
        <v>27590</v>
      </c>
      <c r="D24" s="112"/>
      <c r="E24" s="112"/>
      <c r="F24" s="113"/>
      <c r="G24" s="113"/>
      <c r="H24" s="113"/>
      <c r="I24" s="113"/>
      <c r="J24" s="113"/>
      <c r="K24" s="113"/>
      <c r="L24" s="113"/>
      <c r="M24" s="113"/>
      <c r="N24" s="114">
        <f>SUM(B24:M24)</f>
        <v>52888</v>
      </c>
    </row>
    <row r="25" spans="1:14">
      <c r="A25" s="72"/>
      <c r="B25" s="61">
        <f t="shared" ref="B25:N25" si="2">SUM(B23:B24)</f>
        <v>31382</v>
      </c>
      <c r="C25" s="61">
        <f t="shared" si="2"/>
        <v>34081</v>
      </c>
      <c r="D25" s="61">
        <f t="shared" si="2"/>
        <v>0</v>
      </c>
      <c r="E25" s="61">
        <f t="shared" si="2"/>
        <v>0</v>
      </c>
      <c r="F25" s="61">
        <f t="shared" si="2"/>
        <v>0</v>
      </c>
      <c r="G25" s="61">
        <f t="shared" si="2"/>
        <v>0</v>
      </c>
      <c r="H25" s="61">
        <f t="shared" si="2"/>
        <v>0</v>
      </c>
      <c r="I25" s="61">
        <f t="shared" si="2"/>
        <v>0</v>
      </c>
      <c r="J25" s="61">
        <f t="shared" si="2"/>
        <v>0</v>
      </c>
      <c r="K25" s="61">
        <f t="shared" si="2"/>
        <v>0</v>
      </c>
      <c r="L25" s="61">
        <f t="shared" si="2"/>
        <v>0</v>
      </c>
      <c r="M25" s="61">
        <f t="shared" si="2"/>
        <v>0</v>
      </c>
      <c r="N25" s="61">
        <f t="shared" si="2"/>
        <v>65463</v>
      </c>
    </row>
    <row r="26" spans="1:14">
      <c r="A26" s="63" t="s">
        <v>43</v>
      </c>
      <c r="B26" s="64">
        <v>45500</v>
      </c>
      <c r="C26" s="64">
        <v>41500</v>
      </c>
      <c r="D26" s="64">
        <v>40000</v>
      </c>
      <c r="E26" s="64">
        <v>45500</v>
      </c>
      <c r="F26" s="64">
        <v>51000</v>
      </c>
      <c r="G26" s="64">
        <v>49000</v>
      </c>
      <c r="H26" s="64">
        <v>53500</v>
      </c>
      <c r="I26" s="64">
        <v>46000</v>
      </c>
      <c r="J26" s="64">
        <v>49000</v>
      </c>
      <c r="K26" s="64">
        <v>49000</v>
      </c>
      <c r="L26" s="64">
        <v>52000</v>
      </c>
      <c r="M26" s="64">
        <v>48000</v>
      </c>
      <c r="N26" s="65">
        <f>SUM(B26:M26)</f>
        <v>570000</v>
      </c>
    </row>
    <row r="27" spans="1:14">
      <c r="A27" s="59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7"/>
    </row>
    <row r="28" spans="1:14" ht="15.75" thickBot="1">
      <c r="A28" s="58"/>
      <c r="N28" s="68"/>
    </row>
    <row r="29" spans="1:14" ht="15.75">
      <c r="A29" s="115" t="s">
        <v>44</v>
      </c>
      <c r="B29" s="108" t="s">
        <v>26</v>
      </c>
      <c r="C29" s="108" t="s">
        <v>27</v>
      </c>
      <c r="D29" s="108" t="s">
        <v>28</v>
      </c>
      <c r="E29" s="108" t="s">
        <v>29</v>
      </c>
      <c r="F29" s="108" t="s">
        <v>30</v>
      </c>
      <c r="G29" s="108" t="s">
        <v>31</v>
      </c>
      <c r="H29" s="108" t="s">
        <v>32</v>
      </c>
      <c r="I29" s="108" t="s">
        <v>33</v>
      </c>
      <c r="J29" s="108" t="s">
        <v>34</v>
      </c>
      <c r="K29" s="108" t="s">
        <v>35</v>
      </c>
      <c r="L29" s="108" t="s">
        <v>36</v>
      </c>
      <c r="M29" s="108" t="s">
        <v>37</v>
      </c>
      <c r="N29" s="109" t="s">
        <v>38</v>
      </c>
    </row>
    <row r="30" spans="1:14">
      <c r="A30" s="118" t="s">
        <v>39</v>
      </c>
      <c r="B30" s="110">
        <v>14924</v>
      </c>
      <c r="C30" s="110">
        <v>13893</v>
      </c>
      <c r="D30" s="112"/>
      <c r="E30" s="112"/>
      <c r="F30" s="113"/>
      <c r="G30" s="113"/>
      <c r="H30" s="113"/>
      <c r="I30" s="113"/>
      <c r="J30" s="113"/>
      <c r="K30" s="113"/>
      <c r="L30" s="113"/>
      <c r="M30" s="113"/>
      <c r="N30" s="114">
        <f>SUM(B30:M30)</f>
        <v>28817</v>
      </c>
    </row>
    <row r="31" spans="1:14">
      <c r="A31" s="118" t="s">
        <v>12</v>
      </c>
      <c r="B31" s="110">
        <v>10851</v>
      </c>
      <c r="C31" s="110">
        <v>10030</v>
      </c>
      <c r="D31" s="112"/>
      <c r="E31" s="112"/>
      <c r="F31" s="113"/>
      <c r="G31" s="113"/>
      <c r="H31" s="113"/>
      <c r="I31" s="113"/>
      <c r="J31" s="113"/>
      <c r="K31" s="113"/>
      <c r="L31" s="113"/>
      <c r="M31" s="113"/>
      <c r="N31" s="114">
        <f>SUM(B31:M31)</f>
        <v>20881</v>
      </c>
    </row>
    <row r="32" spans="1:14">
      <c r="A32" s="118" t="s">
        <v>13</v>
      </c>
      <c r="B32" s="110">
        <v>36709</v>
      </c>
      <c r="C32" s="110">
        <v>38745</v>
      </c>
      <c r="D32" s="112"/>
      <c r="E32" s="112"/>
      <c r="F32" s="113"/>
      <c r="G32" s="113"/>
      <c r="H32" s="113"/>
      <c r="I32" s="113"/>
      <c r="J32" s="113"/>
      <c r="K32" s="113"/>
      <c r="L32" s="113"/>
      <c r="M32" s="113"/>
      <c r="N32" s="114">
        <f>SUM(B32:M32)</f>
        <v>75454</v>
      </c>
    </row>
    <row r="33" spans="1:14">
      <c r="A33" s="118" t="s">
        <v>14</v>
      </c>
      <c r="B33" s="110">
        <v>9847</v>
      </c>
      <c r="C33" s="110">
        <v>9482</v>
      </c>
      <c r="D33" s="112"/>
      <c r="E33" s="112"/>
      <c r="F33" s="113"/>
      <c r="G33" s="113"/>
      <c r="H33" s="113"/>
      <c r="I33" s="113"/>
      <c r="J33" s="113"/>
      <c r="K33" s="113"/>
      <c r="L33" s="113"/>
      <c r="M33" s="113"/>
      <c r="N33" s="114">
        <f>SUM(B33:M33)</f>
        <v>19329</v>
      </c>
    </row>
    <row r="34" spans="1:14">
      <c r="A34" s="72"/>
      <c r="B34" s="61">
        <f>SUM(B30:B33)</f>
        <v>72331</v>
      </c>
      <c r="C34" s="61">
        <f>SUM(C30:C33)</f>
        <v>72150</v>
      </c>
      <c r="D34" s="61">
        <f t="shared" ref="D34:N34" si="3">SUM(D30:D33)</f>
        <v>0</v>
      </c>
      <c r="E34" s="61">
        <f t="shared" si="3"/>
        <v>0</v>
      </c>
      <c r="F34" s="61">
        <f t="shared" si="3"/>
        <v>0</v>
      </c>
      <c r="G34" s="61">
        <f t="shared" si="3"/>
        <v>0</v>
      </c>
      <c r="H34" s="61">
        <f t="shared" si="3"/>
        <v>0</v>
      </c>
      <c r="I34" s="61">
        <f t="shared" si="3"/>
        <v>0</v>
      </c>
      <c r="J34" s="61">
        <f t="shared" si="3"/>
        <v>0</v>
      </c>
      <c r="K34" s="61">
        <f t="shared" si="3"/>
        <v>0</v>
      </c>
      <c r="L34" s="61">
        <f t="shared" si="3"/>
        <v>0</v>
      </c>
      <c r="M34" s="61">
        <f t="shared" si="3"/>
        <v>0</v>
      </c>
      <c r="N34" s="61">
        <f t="shared" si="3"/>
        <v>144481</v>
      </c>
    </row>
    <row r="35" spans="1:14">
      <c r="A35" s="63" t="s">
        <v>43</v>
      </c>
      <c r="B35" s="64">
        <v>83000</v>
      </c>
      <c r="C35" s="64">
        <v>85000</v>
      </c>
      <c r="D35" s="64">
        <v>98000</v>
      </c>
      <c r="E35" s="64">
        <v>84000</v>
      </c>
      <c r="F35" s="64">
        <v>96000</v>
      </c>
      <c r="G35" s="64">
        <v>90000</v>
      </c>
      <c r="H35" s="64">
        <v>93000</v>
      </c>
      <c r="I35" s="64">
        <v>87000</v>
      </c>
      <c r="J35" s="64">
        <v>87000</v>
      </c>
      <c r="K35" s="64">
        <v>85000</v>
      </c>
      <c r="L35" s="64">
        <v>92000</v>
      </c>
      <c r="M35" s="64">
        <v>92000</v>
      </c>
      <c r="N35" s="65">
        <f>SUM(B35:M35)</f>
        <v>1072000</v>
      </c>
    </row>
    <row r="36" spans="1:14">
      <c r="A36" s="59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7"/>
    </row>
    <row r="37" spans="1:14" ht="15.75" thickBot="1">
      <c r="A37" s="58"/>
      <c r="N37" s="68"/>
    </row>
    <row r="38" spans="1:14" ht="15.75">
      <c r="A38" s="115" t="s">
        <v>45</v>
      </c>
      <c r="B38" s="108" t="s">
        <v>26</v>
      </c>
      <c r="C38" s="108" t="s">
        <v>27</v>
      </c>
      <c r="D38" s="108" t="s">
        <v>28</v>
      </c>
      <c r="E38" s="108" t="s">
        <v>29</v>
      </c>
      <c r="F38" s="108" t="s">
        <v>30</v>
      </c>
      <c r="G38" s="108" t="s">
        <v>31</v>
      </c>
      <c r="H38" s="108" t="s">
        <v>32</v>
      </c>
      <c r="I38" s="108" t="s">
        <v>33</v>
      </c>
      <c r="J38" s="108" t="s">
        <v>34</v>
      </c>
      <c r="K38" s="108" t="s">
        <v>35</v>
      </c>
      <c r="L38" s="108" t="s">
        <v>36</v>
      </c>
      <c r="M38" s="108" t="s">
        <v>37</v>
      </c>
      <c r="N38" s="109" t="s">
        <v>38</v>
      </c>
    </row>
    <row r="39" spans="1:14">
      <c r="A39" s="118" t="s">
        <v>39</v>
      </c>
      <c r="B39" s="110">
        <v>25700</v>
      </c>
      <c r="C39" s="110">
        <v>26508</v>
      </c>
      <c r="D39" s="112"/>
      <c r="E39" s="112"/>
      <c r="F39" s="113"/>
      <c r="G39" s="113"/>
      <c r="H39" s="113"/>
      <c r="I39" s="113"/>
      <c r="J39" s="113"/>
      <c r="K39" s="113"/>
      <c r="L39" s="113"/>
      <c r="M39" s="113"/>
      <c r="N39" s="114">
        <f>SUM(B39:M39)</f>
        <v>52208</v>
      </c>
    </row>
    <row r="40" spans="1:14">
      <c r="A40" s="118" t="s">
        <v>12</v>
      </c>
      <c r="B40" s="110">
        <v>18210</v>
      </c>
      <c r="C40" s="110">
        <v>18632</v>
      </c>
      <c r="D40" s="112"/>
      <c r="E40" s="112"/>
      <c r="F40" s="113"/>
      <c r="G40" s="113"/>
      <c r="H40" s="113"/>
      <c r="I40" s="113"/>
      <c r="J40" s="113"/>
      <c r="K40" s="113"/>
      <c r="L40" s="113"/>
      <c r="M40" s="113"/>
      <c r="N40" s="114">
        <f>SUM(B40:M40)</f>
        <v>36842</v>
      </c>
    </row>
    <row r="41" spans="1:14">
      <c r="A41" s="118" t="s">
        <v>13</v>
      </c>
      <c r="B41" s="110">
        <v>27343</v>
      </c>
      <c r="C41" s="110">
        <v>28490</v>
      </c>
      <c r="D41" s="112"/>
      <c r="E41" s="112"/>
      <c r="F41" s="113"/>
      <c r="G41" s="113"/>
      <c r="H41" s="113"/>
      <c r="I41" s="113"/>
      <c r="J41" s="113"/>
      <c r="K41" s="113"/>
      <c r="L41" s="113"/>
      <c r="M41" s="113"/>
      <c r="N41" s="114">
        <f>SUM(B41:M41)</f>
        <v>55833</v>
      </c>
    </row>
    <row r="42" spans="1:14">
      <c r="A42" s="118" t="s">
        <v>14</v>
      </c>
      <c r="B42" s="110">
        <v>4136</v>
      </c>
      <c r="C42" s="110">
        <v>3874</v>
      </c>
      <c r="D42" s="112"/>
      <c r="E42" s="112"/>
      <c r="F42" s="113"/>
      <c r="G42" s="113"/>
      <c r="H42" s="113"/>
      <c r="I42" s="113"/>
      <c r="J42" s="113"/>
      <c r="K42" s="113"/>
      <c r="L42" s="113"/>
      <c r="M42" s="113"/>
      <c r="N42" s="114">
        <f>SUM(B42:M42)</f>
        <v>8010</v>
      </c>
    </row>
    <row r="43" spans="1:14">
      <c r="A43" s="72"/>
      <c r="B43" s="107">
        <f>SUM(B39:B42)</f>
        <v>75389</v>
      </c>
      <c r="C43" s="107">
        <f>SUM(C39:C42)</f>
        <v>77504</v>
      </c>
      <c r="D43" s="107">
        <f t="shared" ref="D43:N43" si="4">SUM(D39:D42)</f>
        <v>0</v>
      </c>
      <c r="E43" s="107">
        <f t="shared" si="4"/>
        <v>0</v>
      </c>
      <c r="F43" s="107">
        <f t="shared" si="4"/>
        <v>0</v>
      </c>
      <c r="G43" s="107">
        <f t="shared" si="4"/>
        <v>0</v>
      </c>
      <c r="H43" s="107">
        <f t="shared" si="4"/>
        <v>0</v>
      </c>
      <c r="I43" s="107">
        <f>SUM(I39:I42)</f>
        <v>0</v>
      </c>
      <c r="J43" s="107">
        <f t="shared" si="4"/>
        <v>0</v>
      </c>
      <c r="K43" s="107">
        <f t="shared" si="4"/>
        <v>0</v>
      </c>
      <c r="L43" s="107">
        <f t="shared" si="4"/>
        <v>0</v>
      </c>
      <c r="M43" s="107">
        <f t="shared" si="4"/>
        <v>0</v>
      </c>
      <c r="N43" s="107">
        <f t="shared" si="4"/>
        <v>152893</v>
      </c>
    </row>
    <row r="44" spans="1:14">
      <c r="A44" s="63" t="s">
        <v>43</v>
      </c>
      <c r="B44" s="64">
        <v>100000</v>
      </c>
      <c r="C44" s="64">
        <v>97000</v>
      </c>
      <c r="D44" s="64">
        <v>100000</v>
      </c>
      <c r="E44" s="64">
        <v>100000</v>
      </c>
      <c r="F44" s="64">
        <v>106000</v>
      </c>
      <c r="G44" s="64">
        <v>103000</v>
      </c>
      <c r="H44" s="64">
        <v>100000</v>
      </c>
      <c r="I44" s="64">
        <v>102000</v>
      </c>
      <c r="J44" s="64">
        <v>105000</v>
      </c>
      <c r="K44" s="64">
        <v>105000</v>
      </c>
      <c r="L44" s="64">
        <v>103000</v>
      </c>
      <c r="M44" s="64">
        <v>105000</v>
      </c>
      <c r="N44" s="65">
        <f>SUM(B44:M44)</f>
        <v>1226000</v>
      </c>
    </row>
    <row r="45" spans="1:14">
      <c r="A45" s="59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7"/>
    </row>
    <row r="46" spans="1:14" ht="15.75" thickBot="1">
      <c r="A46" s="58"/>
      <c r="N46" s="68"/>
    </row>
    <row r="47" spans="1:14" ht="15.75">
      <c r="A47" s="115" t="s">
        <v>46</v>
      </c>
      <c r="B47" s="108" t="s">
        <v>26</v>
      </c>
      <c r="C47" s="108" t="s">
        <v>27</v>
      </c>
      <c r="D47" s="108" t="s">
        <v>28</v>
      </c>
      <c r="E47" s="116" t="s">
        <v>29</v>
      </c>
      <c r="F47" s="108" t="s">
        <v>30</v>
      </c>
      <c r="G47" s="108" t="s">
        <v>31</v>
      </c>
      <c r="H47" s="117" t="s">
        <v>32</v>
      </c>
      <c r="I47" s="108" t="s">
        <v>33</v>
      </c>
      <c r="J47" s="108" t="s">
        <v>34</v>
      </c>
      <c r="K47" s="108" t="s">
        <v>35</v>
      </c>
      <c r="L47" s="108" t="s">
        <v>36</v>
      </c>
      <c r="M47" s="108" t="s">
        <v>37</v>
      </c>
      <c r="N47" s="109" t="s">
        <v>38</v>
      </c>
    </row>
    <row r="48" spans="1:14">
      <c r="A48" s="118" t="s">
        <v>39</v>
      </c>
      <c r="B48" s="110">
        <v>24121</v>
      </c>
      <c r="C48" s="110">
        <v>24032</v>
      </c>
      <c r="D48" s="112"/>
      <c r="E48" s="112"/>
      <c r="F48" s="113"/>
      <c r="G48" s="113"/>
      <c r="H48" s="113"/>
      <c r="I48" s="113"/>
      <c r="J48" s="113"/>
      <c r="K48" s="113"/>
      <c r="L48" s="113"/>
      <c r="M48" s="113"/>
      <c r="N48" s="114">
        <f>SUM(B48:M48)</f>
        <v>48153</v>
      </c>
    </row>
    <row r="49" spans="1:14">
      <c r="A49" s="118" t="s">
        <v>12</v>
      </c>
      <c r="B49" s="110">
        <v>17756</v>
      </c>
      <c r="C49" s="110">
        <v>17466</v>
      </c>
      <c r="D49" s="112"/>
      <c r="E49" s="112"/>
      <c r="F49" s="113"/>
      <c r="G49" s="113"/>
      <c r="H49" s="113"/>
      <c r="I49" s="113"/>
      <c r="J49" s="113"/>
      <c r="K49" s="113"/>
      <c r="L49" s="113"/>
      <c r="M49" s="113"/>
      <c r="N49" s="114">
        <f>SUM(B49:M49)</f>
        <v>35222</v>
      </c>
    </row>
    <row r="50" spans="1:14">
      <c r="A50" s="118" t="s">
        <v>13</v>
      </c>
      <c r="B50" s="110">
        <v>38275</v>
      </c>
      <c r="C50" s="110">
        <v>36693</v>
      </c>
      <c r="D50" s="112"/>
      <c r="E50" s="112"/>
      <c r="F50" s="113"/>
      <c r="G50" s="113"/>
      <c r="H50" s="113"/>
      <c r="I50" s="113"/>
      <c r="J50" s="113"/>
      <c r="K50" s="113"/>
      <c r="L50" s="113"/>
      <c r="M50" s="113"/>
      <c r="N50" s="114">
        <f>SUM(B50:M50)</f>
        <v>74968</v>
      </c>
    </row>
    <row r="51" spans="1:14">
      <c r="A51" s="118" t="s">
        <v>14</v>
      </c>
      <c r="B51" s="110">
        <v>3023</v>
      </c>
      <c r="C51" s="110">
        <v>3493</v>
      </c>
      <c r="D51" s="112"/>
      <c r="E51" s="112"/>
      <c r="F51" s="113"/>
      <c r="G51" s="113"/>
      <c r="H51" s="113"/>
      <c r="I51" s="113"/>
      <c r="J51" s="113"/>
      <c r="K51" s="113"/>
      <c r="L51" s="113"/>
      <c r="M51" s="113"/>
      <c r="N51" s="114">
        <f>SUM(B51:M51)</f>
        <v>6516</v>
      </c>
    </row>
    <row r="52" spans="1:14">
      <c r="A52" s="72"/>
      <c r="B52" s="61">
        <f>SUM(B48:B51)</f>
        <v>83175</v>
      </c>
      <c r="C52" s="61">
        <f t="shared" ref="C52:M52" si="5">SUM(C48:C51)</f>
        <v>81684</v>
      </c>
      <c r="D52" s="61">
        <f t="shared" si="5"/>
        <v>0</v>
      </c>
      <c r="E52" s="61">
        <f t="shared" si="5"/>
        <v>0</v>
      </c>
      <c r="F52" s="61">
        <f t="shared" si="5"/>
        <v>0</v>
      </c>
      <c r="G52" s="61">
        <f t="shared" si="5"/>
        <v>0</v>
      </c>
      <c r="H52" s="61">
        <f t="shared" si="5"/>
        <v>0</v>
      </c>
      <c r="I52" s="61">
        <f t="shared" si="5"/>
        <v>0</v>
      </c>
      <c r="J52" s="61">
        <f t="shared" si="5"/>
        <v>0</v>
      </c>
      <c r="K52" s="61">
        <f t="shared" si="5"/>
        <v>0</v>
      </c>
      <c r="L52" s="61">
        <f t="shared" si="5"/>
        <v>0</v>
      </c>
      <c r="M52" s="61">
        <f t="shared" si="5"/>
        <v>0</v>
      </c>
      <c r="N52" s="61">
        <f t="shared" ref="N52" si="6">SUM(N48:N51)</f>
        <v>164859</v>
      </c>
    </row>
    <row r="53" spans="1:14">
      <c r="A53" s="63" t="s">
        <v>43</v>
      </c>
      <c r="B53" s="64">
        <v>112000</v>
      </c>
      <c r="C53" s="64">
        <v>110000</v>
      </c>
      <c r="D53" s="64">
        <v>112000</v>
      </c>
      <c r="E53" s="64">
        <v>106000</v>
      </c>
      <c r="F53" s="64">
        <v>113000</v>
      </c>
      <c r="G53" s="64">
        <v>112000</v>
      </c>
      <c r="H53" s="64">
        <v>105000</v>
      </c>
      <c r="I53" s="64">
        <v>110000</v>
      </c>
      <c r="J53" s="64">
        <v>108000</v>
      </c>
      <c r="K53" s="64">
        <v>100000</v>
      </c>
      <c r="L53" s="64">
        <v>105000</v>
      </c>
      <c r="M53" s="64">
        <v>109000</v>
      </c>
      <c r="N53" s="65">
        <f>SUM(B53:M53)</f>
        <v>1302000</v>
      </c>
    </row>
    <row r="54" spans="1:14">
      <c r="A54" s="59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7"/>
    </row>
    <row r="55" spans="1:14">
      <c r="A55" s="59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7"/>
    </row>
    <row r="56" spans="1:14">
      <c r="A56" s="59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7"/>
    </row>
    <row r="57" spans="1:14">
      <c r="A57" s="69" t="s">
        <v>21</v>
      </c>
      <c r="B57" s="61">
        <f>SUM(B10+B18+B25+B34+B43+B52)</f>
        <v>477769</v>
      </c>
      <c r="C57" s="61">
        <f>SUM(C10+C18+C25+C34+C43+C52)</f>
        <v>466830</v>
      </c>
      <c r="D57" s="61">
        <f t="shared" ref="D57:N57" si="7">SUM(D10+D18+D25+D34+D43+D52)</f>
        <v>0</v>
      </c>
      <c r="E57" s="61">
        <f t="shared" si="7"/>
        <v>0</v>
      </c>
      <c r="F57" s="61">
        <f t="shared" si="7"/>
        <v>0</v>
      </c>
      <c r="G57" s="61">
        <f t="shared" si="7"/>
        <v>0</v>
      </c>
      <c r="H57" s="61">
        <f>SUM(H10+H18+H25+H34+H43+H52)</f>
        <v>0</v>
      </c>
      <c r="I57" s="61">
        <f t="shared" si="7"/>
        <v>0</v>
      </c>
      <c r="J57" s="61">
        <f t="shared" si="7"/>
        <v>0</v>
      </c>
      <c r="K57" s="61">
        <f t="shared" si="7"/>
        <v>0</v>
      </c>
      <c r="L57" s="61">
        <f t="shared" si="7"/>
        <v>0</v>
      </c>
      <c r="M57" s="61">
        <f t="shared" si="7"/>
        <v>0</v>
      </c>
      <c r="N57" s="62">
        <f t="shared" si="7"/>
        <v>944599</v>
      </c>
    </row>
    <row r="58" spans="1:14">
      <c r="A58" s="70" t="s">
        <v>43</v>
      </c>
      <c r="B58" s="71">
        <f>SUM(B11+B19+B26+B35+B44+B53)</f>
        <v>596500</v>
      </c>
      <c r="C58" s="71">
        <v>587500</v>
      </c>
      <c r="D58" s="71">
        <v>632000</v>
      </c>
      <c r="E58" s="71">
        <v>593500</v>
      </c>
      <c r="F58" s="71">
        <v>659000</v>
      </c>
      <c r="G58" s="71">
        <v>607000</v>
      </c>
      <c r="H58" s="71">
        <v>617500</v>
      </c>
      <c r="I58" s="71">
        <v>616000</v>
      </c>
      <c r="J58" s="71">
        <v>613000</v>
      </c>
      <c r="K58" s="71">
        <v>589000</v>
      </c>
      <c r="L58" s="71">
        <v>612000</v>
      </c>
      <c r="M58" s="71">
        <v>632000</v>
      </c>
      <c r="N58" s="71">
        <f>SUM(B58:M58)</f>
        <v>7355000</v>
      </c>
    </row>
    <row r="59" spans="1:14">
      <c r="A59" s="72" t="s">
        <v>47</v>
      </c>
      <c r="B59" s="61">
        <f>+B57-B58</f>
        <v>-118731</v>
      </c>
      <c r="C59" s="61">
        <f>+C57-C58</f>
        <v>-120670</v>
      </c>
      <c r="D59" s="61">
        <f t="shared" ref="D59:M59" si="8">+D57-D58</f>
        <v>-632000</v>
      </c>
      <c r="E59" s="61">
        <f t="shared" si="8"/>
        <v>-593500</v>
      </c>
      <c r="F59" s="61">
        <f t="shared" si="8"/>
        <v>-659000</v>
      </c>
      <c r="G59" s="61">
        <f t="shared" si="8"/>
        <v>-607000</v>
      </c>
      <c r="H59" s="61">
        <f t="shared" si="8"/>
        <v>-617500</v>
      </c>
      <c r="I59" s="61">
        <f t="shared" si="8"/>
        <v>-616000</v>
      </c>
      <c r="J59" s="61">
        <f t="shared" si="8"/>
        <v>-613000</v>
      </c>
      <c r="K59" s="61">
        <f t="shared" si="8"/>
        <v>-589000</v>
      </c>
      <c r="L59" s="61">
        <f t="shared" si="8"/>
        <v>-612000</v>
      </c>
      <c r="M59" s="61">
        <f t="shared" si="8"/>
        <v>-632000</v>
      </c>
      <c r="N59" s="61">
        <f>SUM(B59:M59)</f>
        <v>-6410401</v>
      </c>
    </row>
    <row r="60" spans="1:14">
      <c r="A60" s="58"/>
      <c r="N60" s="68"/>
    </row>
    <row r="61" spans="1:14" ht="15.75" thickBot="1">
      <c r="A61" s="73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5"/>
    </row>
  </sheetData>
  <mergeCells count="3">
    <mergeCell ref="B1:M1"/>
    <mergeCell ref="B2:M2"/>
    <mergeCell ref="B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C12" sqref="C12"/>
    </sheetView>
  </sheetViews>
  <sheetFormatPr baseColWidth="10" defaultRowHeight="15"/>
  <cols>
    <col min="1" max="1" width="14.28515625" customWidth="1"/>
  </cols>
  <sheetData>
    <row r="1" spans="1:14" ht="22.5">
      <c r="A1" s="120" t="s">
        <v>48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76"/>
    </row>
    <row r="2" spans="1:14" ht="15.75">
      <c r="A2" s="121" t="s">
        <v>49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57"/>
    </row>
    <row r="3" spans="1:14" ht="15.75">
      <c r="A3" s="121" t="s">
        <v>74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56"/>
    </row>
    <row r="5" spans="1:14" ht="15.75">
      <c r="A5" s="77"/>
      <c r="B5" s="78" t="s">
        <v>26</v>
      </c>
      <c r="C5" s="78" t="s">
        <v>27</v>
      </c>
      <c r="D5" s="78" t="s">
        <v>28</v>
      </c>
      <c r="E5" s="78" t="s">
        <v>29</v>
      </c>
      <c r="F5" s="78" t="s">
        <v>30</v>
      </c>
      <c r="G5" s="78" t="s">
        <v>31</v>
      </c>
      <c r="H5" s="78" t="s">
        <v>32</v>
      </c>
      <c r="I5" s="78" t="s">
        <v>33</v>
      </c>
      <c r="J5" s="78" t="s">
        <v>34</v>
      </c>
      <c r="K5" s="78" t="s">
        <v>35</v>
      </c>
      <c r="L5" s="78" t="s">
        <v>36</v>
      </c>
      <c r="M5" s="78" t="s">
        <v>37</v>
      </c>
      <c r="N5" s="78" t="s">
        <v>38</v>
      </c>
    </row>
    <row r="6" spans="1:14" ht="15.75">
      <c r="A6" s="78" t="s">
        <v>25</v>
      </c>
      <c r="B6" s="72">
        <v>72</v>
      </c>
      <c r="C6" s="72">
        <v>74.75</v>
      </c>
      <c r="D6" s="78"/>
      <c r="E6" s="78"/>
      <c r="F6" s="78"/>
      <c r="G6" s="78"/>
      <c r="H6" s="78"/>
      <c r="I6" s="78"/>
      <c r="J6" s="78"/>
      <c r="K6" s="78"/>
      <c r="L6" s="78"/>
      <c r="M6" s="78"/>
      <c r="N6" s="79">
        <f>SUM(B6:M6)</f>
        <v>146.75</v>
      </c>
    </row>
    <row r="7" spans="1:14" ht="15.75">
      <c r="A7" s="78" t="s">
        <v>41</v>
      </c>
      <c r="B7" s="72">
        <v>339.75</v>
      </c>
      <c r="C7" s="72">
        <v>257.5</v>
      </c>
      <c r="D7" s="78"/>
      <c r="E7" s="78"/>
      <c r="F7" s="78"/>
      <c r="G7" s="78"/>
      <c r="H7" s="78"/>
      <c r="I7" s="78"/>
      <c r="J7" s="78"/>
      <c r="K7" s="78"/>
      <c r="L7" s="78"/>
      <c r="M7" s="78"/>
      <c r="N7" s="79">
        <f t="shared" ref="N7:N11" si="0">SUM(B7:M7)</f>
        <v>597.25</v>
      </c>
    </row>
    <row r="8" spans="1:14" ht="15.75">
      <c r="A8" s="78" t="s">
        <v>42</v>
      </c>
      <c r="B8" s="72">
        <v>97.5</v>
      </c>
      <c r="C8" s="72">
        <v>52</v>
      </c>
      <c r="D8" s="78"/>
      <c r="E8" s="78"/>
      <c r="F8" s="78"/>
      <c r="G8" s="78"/>
      <c r="H8" s="78"/>
      <c r="I8" s="78"/>
      <c r="J8" s="78"/>
      <c r="K8" s="78"/>
      <c r="L8" s="78"/>
      <c r="M8" s="78"/>
      <c r="N8" s="79">
        <f t="shared" si="0"/>
        <v>149.5</v>
      </c>
    </row>
    <row r="9" spans="1:14" ht="15.75">
      <c r="A9" s="78" t="s">
        <v>44</v>
      </c>
      <c r="B9" s="72">
        <v>70.5</v>
      </c>
      <c r="C9" s="72">
        <v>98.25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9">
        <f t="shared" si="0"/>
        <v>168.75</v>
      </c>
    </row>
    <row r="10" spans="1:14" ht="15.75">
      <c r="A10" s="78" t="s">
        <v>50</v>
      </c>
      <c r="B10" s="72">
        <v>256</v>
      </c>
      <c r="C10" s="72">
        <v>127.25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9">
        <f t="shared" si="0"/>
        <v>383.25</v>
      </c>
    </row>
    <row r="11" spans="1:14" ht="15.75">
      <c r="A11" s="78" t="s">
        <v>46</v>
      </c>
      <c r="B11" s="72">
        <v>150.25</v>
      </c>
      <c r="C11" s="72">
        <v>215.25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9">
        <f t="shared" si="0"/>
        <v>365.5</v>
      </c>
    </row>
    <row r="12" spans="1:14" ht="15.75">
      <c r="A12" s="77"/>
      <c r="B12" s="78">
        <f>SUM(B6:B11)</f>
        <v>986</v>
      </c>
      <c r="C12" s="78">
        <f t="shared" ref="C12:N12" si="1">SUM(C6:C11)</f>
        <v>825</v>
      </c>
      <c r="D12" s="78">
        <f t="shared" si="1"/>
        <v>0</v>
      </c>
      <c r="E12" s="78">
        <f t="shared" si="1"/>
        <v>0</v>
      </c>
      <c r="F12" s="78">
        <f t="shared" si="1"/>
        <v>0</v>
      </c>
      <c r="G12" s="78">
        <f t="shared" si="1"/>
        <v>0</v>
      </c>
      <c r="H12" s="78">
        <f t="shared" si="1"/>
        <v>0</v>
      </c>
      <c r="I12" s="78">
        <f>SUM(I6:I11)</f>
        <v>0</v>
      </c>
      <c r="J12" s="78">
        <f t="shared" ref="J12" si="2">SUM(J6:J11)</f>
        <v>0</v>
      </c>
      <c r="K12" s="78">
        <f t="shared" si="1"/>
        <v>0</v>
      </c>
      <c r="L12" s="78">
        <f t="shared" si="1"/>
        <v>0</v>
      </c>
      <c r="M12" s="78">
        <f t="shared" si="1"/>
        <v>0</v>
      </c>
      <c r="N12" s="78">
        <f t="shared" si="1"/>
        <v>1811</v>
      </c>
    </row>
  </sheetData>
  <mergeCells count="3">
    <mergeCell ref="A1:M1"/>
    <mergeCell ref="A2:M2"/>
    <mergeCell ref="A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37" workbookViewId="0">
      <selection activeCell="C39" sqref="C39:C42"/>
    </sheetView>
  </sheetViews>
  <sheetFormatPr baseColWidth="10" defaultRowHeight="15"/>
  <sheetData>
    <row r="1" spans="1:14" ht="22.5">
      <c r="A1" s="80"/>
      <c r="B1" s="81" t="s">
        <v>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0"/>
    </row>
    <row r="2" spans="1:14" ht="15.75">
      <c r="A2" s="77"/>
      <c r="B2" s="82" t="s">
        <v>51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57"/>
    </row>
    <row r="3" spans="1:14" ht="15.75">
      <c r="A3" s="77"/>
      <c r="B3" s="122" t="s">
        <v>24</v>
      </c>
      <c r="C3" s="122"/>
      <c r="D3" s="122"/>
      <c r="E3" s="82"/>
      <c r="F3" s="82"/>
      <c r="G3" s="82"/>
      <c r="H3" s="82"/>
      <c r="I3" s="82"/>
      <c r="J3" s="82"/>
      <c r="K3" s="82"/>
      <c r="L3" s="82"/>
      <c r="M3" s="82"/>
      <c r="N3" s="57"/>
    </row>
    <row r="5" spans="1:14" ht="15.75">
      <c r="A5" s="77" t="s">
        <v>25</v>
      </c>
      <c r="B5" s="77" t="s">
        <v>26</v>
      </c>
      <c r="C5" s="77" t="s">
        <v>27</v>
      </c>
      <c r="D5" s="77" t="s">
        <v>28</v>
      </c>
      <c r="E5" s="77" t="s">
        <v>29</v>
      </c>
      <c r="F5" s="77" t="s">
        <v>30</v>
      </c>
      <c r="G5" s="77" t="s">
        <v>31</v>
      </c>
      <c r="H5" s="77" t="s">
        <v>32</v>
      </c>
      <c r="I5" s="77" t="s">
        <v>33</v>
      </c>
      <c r="J5" s="77" t="s">
        <v>34</v>
      </c>
      <c r="K5" s="77" t="s">
        <v>35</v>
      </c>
      <c r="L5" s="77" t="s">
        <v>36</v>
      </c>
      <c r="M5" s="77" t="s">
        <v>37</v>
      </c>
      <c r="N5" s="77" t="s">
        <v>38</v>
      </c>
    </row>
    <row r="6" spans="1:14">
      <c r="A6" t="s">
        <v>20</v>
      </c>
      <c r="B6" s="83">
        <v>-274</v>
      </c>
      <c r="C6" s="83">
        <v>-360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>
        <f>SUM(B6:M6)</f>
        <v>-634</v>
      </c>
    </row>
    <row r="7" spans="1:14">
      <c r="A7" t="s">
        <v>12</v>
      </c>
      <c r="B7" s="83">
        <v>-254</v>
      </c>
      <c r="C7" s="83">
        <v>-239</v>
      </c>
      <c r="D7" s="83"/>
      <c r="E7" s="83"/>
      <c r="F7" s="83"/>
      <c r="G7" s="83"/>
      <c r="H7" s="83"/>
      <c r="I7" s="83"/>
      <c r="J7" s="83"/>
      <c r="K7" s="83"/>
      <c r="L7" s="83"/>
      <c r="M7" s="83"/>
      <c r="N7" s="83">
        <f>SUM(B7:M7)</f>
        <v>-493</v>
      </c>
    </row>
    <row r="8" spans="1:14">
      <c r="A8" t="s">
        <v>13</v>
      </c>
      <c r="B8" s="83">
        <v>66</v>
      </c>
      <c r="C8" s="83">
        <v>68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>
        <f>SUM(B8:M8)</f>
        <v>134</v>
      </c>
    </row>
    <row r="9" spans="1:14" ht="15.75" thickBot="1">
      <c r="A9" t="s">
        <v>14</v>
      </c>
      <c r="B9" s="83">
        <v>-10</v>
      </c>
      <c r="C9" s="83">
        <v>226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>
        <f>SUM(B9:M9)</f>
        <v>216</v>
      </c>
    </row>
    <row r="10" spans="1:14" ht="15.75" thickBot="1">
      <c r="A10" s="84"/>
      <c r="B10" s="85">
        <f>SUM(B6:B9)</f>
        <v>-472</v>
      </c>
      <c r="C10" s="85">
        <f t="shared" ref="C10:M10" si="0">SUM(C6:C9)</f>
        <v>-305</v>
      </c>
      <c r="D10" s="85">
        <f t="shared" si="0"/>
        <v>0</v>
      </c>
      <c r="E10" s="85">
        <f t="shared" si="0"/>
        <v>0</v>
      </c>
      <c r="F10" s="85">
        <f t="shared" si="0"/>
        <v>0</v>
      </c>
      <c r="G10" s="85">
        <f t="shared" si="0"/>
        <v>0</v>
      </c>
      <c r="H10" s="85">
        <f t="shared" si="0"/>
        <v>0</v>
      </c>
      <c r="I10" s="86">
        <f t="shared" si="0"/>
        <v>0</v>
      </c>
      <c r="J10" s="86">
        <f t="shared" si="0"/>
        <v>0</v>
      </c>
      <c r="K10" s="86">
        <f t="shared" si="0"/>
        <v>0</v>
      </c>
      <c r="L10" s="86">
        <f t="shared" si="0"/>
        <v>0</v>
      </c>
      <c r="M10" s="86">
        <f t="shared" si="0"/>
        <v>0</v>
      </c>
      <c r="N10" s="87">
        <f>SUM(B10:M10)</f>
        <v>-777</v>
      </c>
    </row>
    <row r="12" spans="1:14" ht="15.75">
      <c r="A12" s="77" t="s">
        <v>41</v>
      </c>
      <c r="B12" s="77" t="s">
        <v>26</v>
      </c>
      <c r="C12" s="77" t="s">
        <v>27</v>
      </c>
      <c r="D12" s="77" t="s">
        <v>28</v>
      </c>
      <c r="E12" s="77" t="s">
        <v>29</v>
      </c>
      <c r="F12" s="77" t="s">
        <v>30</v>
      </c>
      <c r="G12" s="77" t="s">
        <v>31</v>
      </c>
      <c r="H12" s="77" t="s">
        <v>32</v>
      </c>
      <c r="I12" s="77" t="s">
        <v>33</v>
      </c>
      <c r="J12" s="77" t="s">
        <v>34</v>
      </c>
      <c r="K12" s="77" t="s">
        <v>35</v>
      </c>
      <c r="L12" s="77" t="s">
        <v>36</v>
      </c>
      <c r="M12" s="77" t="s">
        <v>37</v>
      </c>
      <c r="N12" s="77" t="s">
        <v>38</v>
      </c>
    </row>
    <row r="13" spans="1:14">
      <c r="A13" t="s">
        <v>20</v>
      </c>
      <c r="B13" s="83">
        <v>-264</v>
      </c>
      <c r="C13" s="83">
        <v>-241</v>
      </c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>
        <f>SUM(B13:M13)</f>
        <v>-505</v>
      </c>
    </row>
    <row r="14" spans="1:14">
      <c r="A14" t="s">
        <v>12</v>
      </c>
      <c r="B14" s="83">
        <v>-141</v>
      </c>
      <c r="C14" s="83">
        <v>-134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>
        <f>SUM(B14:M14)</f>
        <v>-275</v>
      </c>
    </row>
    <row r="15" spans="1:14" ht="15.75" thickBot="1">
      <c r="A15" t="s">
        <v>13</v>
      </c>
      <c r="B15" s="83">
        <v>68</v>
      </c>
      <c r="C15" s="83">
        <v>32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>
        <f>SUM(B15:M15)</f>
        <v>100</v>
      </c>
    </row>
    <row r="16" spans="1:14" ht="15.75" thickBot="1">
      <c r="A16" s="84"/>
      <c r="B16" s="85">
        <f>SUM(B13:B15)</f>
        <v>-337</v>
      </c>
      <c r="C16" s="85">
        <f>SUM(C13:C15)</f>
        <v>-343</v>
      </c>
      <c r="D16" s="85">
        <f>SUM(D13:D15)</f>
        <v>0</v>
      </c>
      <c r="E16" s="85">
        <f>SUM(E13:E15)</f>
        <v>0</v>
      </c>
      <c r="F16" s="85">
        <f t="shared" ref="F16:M16" si="1">SUM(F13:F15)</f>
        <v>0</v>
      </c>
      <c r="G16" s="85">
        <f t="shared" si="1"/>
        <v>0</v>
      </c>
      <c r="H16" s="86">
        <f t="shared" si="1"/>
        <v>0</v>
      </c>
      <c r="I16" s="86">
        <f>SUM(I13:I15)</f>
        <v>0</v>
      </c>
      <c r="J16" s="86">
        <f t="shared" si="1"/>
        <v>0</v>
      </c>
      <c r="K16" s="86">
        <f t="shared" si="1"/>
        <v>0</v>
      </c>
      <c r="L16" s="86">
        <f t="shared" si="1"/>
        <v>0</v>
      </c>
      <c r="M16" s="86">
        <f t="shared" si="1"/>
        <v>0</v>
      </c>
      <c r="N16" s="87">
        <f>SUM(B16:M16)</f>
        <v>-680</v>
      </c>
    </row>
    <row r="18" spans="1:14" ht="15.75">
      <c r="A18" s="77" t="s">
        <v>42</v>
      </c>
      <c r="B18" s="77" t="s">
        <v>26</v>
      </c>
      <c r="C18" s="77" t="s">
        <v>27</v>
      </c>
      <c r="D18" s="77" t="s">
        <v>28</v>
      </c>
      <c r="E18" s="77" t="s">
        <v>29</v>
      </c>
      <c r="F18" s="77" t="s">
        <v>30</v>
      </c>
      <c r="G18" s="77" t="s">
        <v>31</v>
      </c>
      <c r="H18" s="77" t="s">
        <v>32</v>
      </c>
      <c r="I18" s="77" t="s">
        <v>33</v>
      </c>
      <c r="J18" s="77" t="s">
        <v>34</v>
      </c>
      <c r="K18" s="77" t="s">
        <v>35</v>
      </c>
      <c r="L18" s="77" t="s">
        <v>36</v>
      </c>
      <c r="M18" s="77" t="s">
        <v>37</v>
      </c>
      <c r="N18" s="77" t="s">
        <v>38</v>
      </c>
    </row>
    <row r="19" spans="1:14">
      <c r="A19" t="s">
        <v>20</v>
      </c>
      <c r="B19" s="83">
        <v>-71</v>
      </c>
      <c r="C19" s="83">
        <v>-47</v>
      </c>
      <c r="D19" s="83"/>
      <c r="E19" s="88"/>
      <c r="F19" s="83"/>
      <c r="G19" s="83"/>
      <c r="H19" s="83"/>
      <c r="I19" s="83"/>
      <c r="J19" s="83"/>
      <c r="K19" s="83"/>
      <c r="L19" s="83"/>
      <c r="M19" s="83"/>
      <c r="N19" s="83">
        <f>SUM(B19:M19)</f>
        <v>-118</v>
      </c>
    </row>
    <row r="20" spans="1:14">
      <c r="A20" t="s">
        <v>13</v>
      </c>
      <c r="B20" s="83">
        <v>-8</v>
      </c>
      <c r="C20" s="83">
        <v>14</v>
      </c>
      <c r="D20" s="83"/>
      <c r="E20" s="88"/>
      <c r="F20" s="83"/>
      <c r="G20" s="83"/>
      <c r="H20" s="83"/>
      <c r="I20" s="83"/>
      <c r="J20" s="83"/>
      <c r="K20" s="83"/>
      <c r="L20" s="83"/>
      <c r="M20" s="83"/>
      <c r="N20" s="83">
        <f>SUM(B20:M20)</f>
        <v>6</v>
      </c>
    </row>
    <row r="21" spans="1:14" ht="15.75" thickBot="1">
      <c r="A21" t="s">
        <v>14</v>
      </c>
      <c r="B21" s="83">
        <v>0</v>
      </c>
      <c r="C21">
        <v>0</v>
      </c>
      <c r="D21">
        <v>0</v>
      </c>
      <c r="E21" s="88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83">
        <f>SUM(B21:M21)</f>
        <v>0</v>
      </c>
    </row>
    <row r="22" spans="1:14" ht="15.75" thickBot="1">
      <c r="A22" s="84"/>
      <c r="B22" s="85">
        <f>SUM(B19:B21)</f>
        <v>-79</v>
      </c>
      <c r="C22" s="85">
        <f>SUM(C19:C21)</f>
        <v>-33</v>
      </c>
      <c r="D22" s="85">
        <f>SUM(D19:D21)</f>
        <v>0</v>
      </c>
      <c r="E22" s="85">
        <f>SUM(E19:E21)</f>
        <v>0</v>
      </c>
      <c r="F22" s="85">
        <f t="shared" ref="F22:M22" si="2">SUM(F19:F21)</f>
        <v>0</v>
      </c>
      <c r="G22" s="85">
        <f t="shared" si="2"/>
        <v>0</v>
      </c>
      <c r="H22" s="86">
        <f t="shared" si="2"/>
        <v>0</v>
      </c>
      <c r="I22" s="86">
        <f t="shared" si="2"/>
        <v>0</v>
      </c>
      <c r="J22" s="86">
        <f t="shared" si="2"/>
        <v>0</v>
      </c>
      <c r="K22" s="86">
        <f t="shared" si="2"/>
        <v>0</v>
      </c>
      <c r="L22" s="86">
        <f t="shared" si="2"/>
        <v>0</v>
      </c>
      <c r="M22" s="86">
        <f t="shared" si="2"/>
        <v>0</v>
      </c>
      <c r="N22" s="87">
        <f>SUM(B22:M22)</f>
        <v>-112</v>
      </c>
    </row>
    <row r="24" spans="1:14" ht="16.5" thickBot="1">
      <c r="A24" s="77" t="s">
        <v>44</v>
      </c>
      <c r="B24" s="77" t="s">
        <v>26</v>
      </c>
      <c r="C24" s="77" t="s">
        <v>27</v>
      </c>
      <c r="D24" s="77" t="s">
        <v>28</v>
      </c>
      <c r="E24" s="77" t="s">
        <v>29</v>
      </c>
      <c r="F24" s="77" t="s">
        <v>30</v>
      </c>
      <c r="G24" s="77" t="s">
        <v>31</v>
      </c>
      <c r="H24" s="77" t="s">
        <v>32</v>
      </c>
      <c r="I24" s="77" t="s">
        <v>33</v>
      </c>
      <c r="J24" s="77" t="s">
        <v>34</v>
      </c>
      <c r="K24" s="77" t="s">
        <v>35</v>
      </c>
      <c r="L24" s="77" t="s">
        <v>36</v>
      </c>
      <c r="M24" s="77" t="s">
        <v>37</v>
      </c>
      <c r="N24" s="77" t="s">
        <v>38</v>
      </c>
    </row>
    <row r="25" spans="1:14">
      <c r="A25" t="s">
        <v>20</v>
      </c>
      <c r="B25" s="83">
        <v>-109</v>
      </c>
      <c r="C25" s="83">
        <v>-283</v>
      </c>
      <c r="D25" s="83"/>
      <c r="E25" s="83"/>
      <c r="F25" s="83"/>
      <c r="G25" s="83"/>
      <c r="H25" s="83"/>
      <c r="I25" s="83"/>
      <c r="J25" s="83"/>
      <c r="K25" s="30"/>
      <c r="L25" s="83"/>
      <c r="M25" s="83"/>
      <c r="N25" s="83">
        <f>SUM(B25:M25)</f>
        <v>-392</v>
      </c>
    </row>
    <row r="26" spans="1:14">
      <c r="A26" t="s">
        <v>12</v>
      </c>
      <c r="B26" s="83">
        <v>-372</v>
      </c>
      <c r="C26" s="83">
        <v>-80</v>
      </c>
      <c r="D26" s="83"/>
      <c r="E26" s="83"/>
      <c r="F26" s="83"/>
      <c r="G26" s="83"/>
      <c r="H26" s="83"/>
      <c r="I26" s="83"/>
      <c r="J26" s="83"/>
      <c r="K26" s="34"/>
      <c r="L26" s="83"/>
      <c r="M26" s="83"/>
      <c r="N26" s="83">
        <f>SUM(B26:M26)</f>
        <v>-452</v>
      </c>
    </row>
    <row r="27" spans="1:14">
      <c r="A27" t="s">
        <v>13</v>
      </c>
      <c r="B27" s="83">
        <v>122</v>
      </c>
      <c r="C27" s="83">
        <v>118</v>
      </c>
      <c r="D27" s="83"/>
      <c r="E27" s="83"/>
      <c r="F27" s="83"/>
      <c r="G27" s="83"/>
      <c r="H27" s="83"/>
      <c r="I27" s="83"/>
      <c r="J27" s="83"/>
      <c r="K27" s="34"/>
      <c r="L27" s="83"/>
      <c r="M27" s="83"/>
      <c r="N27" s="83">
        <f>SUM(B27:M27)</f>
        <v>240</v>
      </c>
    </row>
    <row r="28" spans="1:14" ht="15.75" thickBot="1">
      <c r="A28" t="s">
        <v>14</v>
      </c>
      <c r="B28" s="83">
        <v>-174</v>
      </c>
      <c r="C28" s="83">
        <v>359</v>
      </c>
      <c r="D28" s="83"/>
      <c r="E28" s="83"/>
      <c r="F28" s="83"/>
      <c r="G28" s="83"/>
      <c r="H28" s="83"/>
      <c r="I28" s="83"/>
      <c r="J28" s="83"/>
      <c r="K28" s="38"/>
      <c r="L28" s="83"/>
      <c r="M28" s="83"/>
      <c r="N28" s="83">
        <f>SUM(B28:M28)</f>
        <v>185</v>
      </c>
    </row>
    <row r="29" spans="1:14" ht="15.75" thickBot="1">
      <c r="A29" s="84"/>
      <c r="B29" s="85">
        <f>SUM(B25:B28)</f>
        <v>-533</v>
      </c>
      <c r="C29" s="85">
        <f>SUM(C25:C28)</f>
        <v>114</v>
      </c>
      <c r="D29" s="85">
        <f>SUM(D25:D28)</f>
        <v>0</v>
      </c>
      <c r="E29" s="85">
        <f>SUM(E25:E28)</f>
        <v>0</v>
      </c>
      <c r="F29" s="85">
        <f t="shared" ref="F29:M29" si="3">SUM(F25:F28)</f>
        <v>0</v>
      </c>
      <c r="G29" s="85">
        <f t="shared" si="3"/>
        <v>0</v>
      </c>
      <c r="H29" s="86">
        <f t="shared" si="3"/>
        <v>0</v>
      </c>
      <c r="I29" s="86">
        <f t="shared" si="3"/>
        <v>0</v>
      </c>
      <c r="J29" s="86">
        <f t="shared" si="3"/>
        <v>0</v>
      </c>
      <c r="K29" s="86">
        <f t="shared" si="3"/>
        <v>0</v>
      </c>
      <c r="L29" s="86">
        <f>SUM(L25:L28)</f>
        <v>0</v>
      </c>
      <c r="M29" s="86">
        <f t="shared" si="3"/>
        <v>0</v>
      </c>
      <c r="N29" s="87">
        <f>SUM(B29:M29)</f>
        <v>-419</v>
      </c>
    </row>
    <row r="31" spans="1:14" ht="16.5" thickBot="1">
      <c r="A31" s="77" t="s">
        <v>50</v>
      </c>
      <c r="B31" s="77" t="s">
        <v>26</v>
      </c>
      <c r="C31" s="77" t="s">
        <v>27</v>
      </c>
      <c r="D31" s="77" t="s">
        <v>28</v>
      </c>
      <c r="E31" s="77" t="s">
        <v>29</v>
      </c>
      <c r="F31" s="77" t="s">
        <v>30</v>
      </c>
      <c r="G31" s="77" t="s">
        <v>31</v>
      </c>
      <c r="H31" s="77" t="s">
        <v>32</v>
      </c>
      <c r="I31" s="77" t="s">
        <v>33</v>
      </c>
      <c r="J31" s="77" t="s">
        <v>34</v>
      </c>
      <c r="K31" s="77" t="s">
        <v>35</v>
      </c>
      <c r="L31" s="77" t="s">
        <v>36</v>
      </c>
      <c r="M31" s="77" t="s">
        <v>37</v>
      </c>
      <c r="N31" s="77" t="s">
        <v>38</v>
      </c>
    </row>
    <row r="32" spans="1:14">
      <c r="A32" t="s">
        <v>20</v>
      </c>
      <c r="B32" s="83">
        <v>-159</v>
      </c>
      <c r="C32" s="83">
        <v>-157</v>
      </c>
      <c r="D32" s="83"/>
      <c r="E32" s="83"/>
      <c r="F32" s="83"/>
      <c r="G32" s="83"/>
      <c r="H32" s="83"/>
      <c r="I32" s="83"/>
      <c r="J32" s="83"/>
      <c r="K32" s="32"/>
      <c r="L32" s="83"/>
      <c r="M32" s="83"/>
      <c r="N32" s="83">
        <f>SUM(B32:M32)</f>
        <v>-316</v>
      </c>
    </row>
    <row r="33" spans="1:14">
      <c r="A33" t="s">
        <v>12</v>
      </c>
      <c r="B33" s="83">
        <v>-182</v>
      </c>
      <c r="C33" s="83">
        <v>-155</v>
      </c>
      <c r="D33" s="83"/>
      <c r="E33" s="83"/>
      <c r="F33" s="83"/>
      <c r="G33" s="83"/>
      <c r="H33" s="83"/>
      <c r="I33" s="83"/>
      <c r="J33" s="83"/>
      <c r="K33" s="36"/>
      <c r="L33" s="83"/>
      <c r="M33" s="83"/>
      <c r="N33" s="83">
        <f>SUM(B33:M33)</f>
        <v>-337</v>
      </c>
    </row>
    <row r="34" spans="1:14">
      <c r="A34" t="s">
        <v>13</v>
      </c>
      <c r="B34" s="83">
        <v>53</v>
      </c>
      <c r="C34" s="83">
        <v>5</v>
      </c>
      <c r="D34" s="83"/>
      <c r="E34" s="83"/>
      <c r="F34" s="83"/>
      <c r="G34" s="83"/>
      <c r="H34" s="83"/>
      <c r="I34" s="83"/>
      <c r="J34" s="83"/>
      <c r="K34" s="36"/>
      <c r="L34" s="83"/>
      <c r="M34" s="83"/>
      <c r="N34" s="83">
        <f>SUM(B34:M34)</f>
        <v>58</v>
      </c>
    </row>
    <row r="35" spans="1:14" ht="15.75" thickBot="1">
      <c r="A35" t="s">
        <v>14</v>
      </c>
      <c r="B35" s="83">
        <v>-3</v>
      </c>
      <c r="C35" s="83">
        <v>-34</v>
      </c>
      <c r="D35" s="83"/>
      <c r="E35" s="83"/>
      <c r="F35" s="83"/>
      <c r="G35" s="83"/>
      <c r="H35" s="83"/>
      <c r="I35" s="83"/>
      <c r="J35" s="83"/>
      <c r="K35" s="36"/>
      <c r="L35" s="83"/>
      <c r="M35" s="83"/>
      <c r="N35" s="83">
        <f>SUM(B35:M35)</f>
        <v>-37</v>
      </c>
    </row>
    <row r="36" spans="1:14" ht="15.75" thickBot="1">
      <c r="A36" s="84"/>
      <c r="B36" s="85">
        <f>SUM(B32:B35)</f>
        <v>-291</v>
      </c>
      <c r="C36" s="85">
        <f>SUM(C32:C35)</f>
        <v>-341</v>
      </c>
      <c r="D36" s="85">
        <f>SUM(D32:D35)</f>
        <v>0</v>
      </c>
      <c r="E36" s="85">
        <f>SUM(E32:E35)</f>
        <v>0</v>
      </c>
      <c r="F36" s="85">
        <f t="shared" ref="F36:M36" si="4">SUM(F32:F35)</f>
        <v>0</v>
      </c>
      <c r="G36" s="85">
        <f t="shared" si="4"/>
        <v>0</v>
      </c>
      <c r="H36" s="85">
        <f t="shared" si="4"/>
        <v>0</v>
      </c>
      <c r="I36" s="85">
        <f t="shared" si="4"/>
        <v>0</v>
      </c>
      <c r="J36" s="85">
        <f t="shared" si="4"/>
        <v>0</v>
      </c>
      <c r="K36" s="85">
        <f t="shared" si="4"/>
        <v>0</v>
      </c>
      <c r="L36" s="85">
        <f>SUM(L32:L35)</f>
        <v>0</v>
      </c>
      <c r="M36" s="85">
        <f t="shared" si="4"/>
        <v>0</v>
      </c>
      <c r="N36" s="89">
        <f>SUM(B36:M36)</f>
        <v>-632</v>
      </c>
    </row>
    <row r="38" spans="1:14" ht="15.75">
      <c r="A38" s="77" t="s">
        <v>46</v>
      </c>
      <c r="B38" s="77" t="s">
        <v>26</v>
      </c>
      <c r="C38" s="77" t="s">
        <v>27</v>
      </c>
      <c r="D38" s="77" t="s">
        <v>28</v>
      </c>
      <c r="E38" s="77" t="s">
        <v>29</v>
      </c>
      <c r="F38" s="77" t="s">
        <v>30</v>
      </c>
      <c r="G38" s="77" t="s">
        <v>31</v>
      </c>
      <c r="H38" s="77" t="s">
        <v>32</v>
      </c>
      <c r="I38" s="77" t="s">
        <v>33</v>
      </c>
      <c r="J38" s="77" t="s">
        <v>34</v>
      </c>
      <c r="K38" s="77" t="s">
        <v>35</v>
      </c>
      <c r="L38" s="77" t="s">
        <v>36</v>
      </c>
      <c r="M38" s="77" t="s">
        <v>37</v>
      </c>
      <c r="N38" s="77" t="s">
        <v>38</v>
      </c>
    </row>
    <row r="39" spans="1:14">
      <c r="A39" t="s">
        <v>20</v>
      </c>
      <c r="B39" s="83">
        <v>-192</v>
      </c>
      <c r="C39" s="83">
        <v>-206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>
        <f t="shared" ref="N39:N43" si="5">SUM(B39:M39)</f>
        <v>-398</v>
      </c>
    </row>
    <row r="40" spans="1:14">
      <c r="A40" t="s">
        <v>12</v>
      </c>
      <c r="B40" s="83">
        <v>-184</v>
      </c>
      <c r="C40" s="83">
        <v>-170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>
        <f t="shared" si="5"/>
        <v>-354</v>
      </c>
    </row>
    <row r="41" spans="1:14">
      <c r="A41" t="s">
        <v>13</v>
      </c>
      <c r="B41" s="83">
        <v>80</v>
      </c>
      <c r="C41" s="83">
        <v>15</v>
      </c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>
        <f t="shared" si="5"/>
        <v>95</v>
      </c>
    </row>
    <row r="42" spans="1:14" ht="15.75" thickBot="1">
      <c r="A42" t="s">
        <v>14</v>
      </c>
      <c r="B42" s="83">
        <v>-3</v>
      </c>
      <c r="C42" s="83">
        <v>46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>
        <f t="shared" si="5"/>
        <v>43</v>
      </c>
    </row>
    <row r="43" spans="1:14" ht="15.75" thickBot="1">
      <c r="A43" s="84"/>
      <c r="B43" s="85">
        <f t="shared" ref="B43:M43" si="6">SUM(B39:B42)</f>
        <v>-299</v>
      </c>
      <c r="C43" s="85">
        <f t="shared" si="6"/>
        <v>-315</v>
      </c>
      <c r="D43" s="85">
        <f t="shared" si="6"/>
        <v>0</v>
      </c>
      <c r="E43" s="90">
        <f t="shared" si="6"/>
        <v>0</v>
      </c>
      <c r="F43" s="90">
        <f t="shared" si="6"/>
        <v>0</v>
      </c>
      <c r="G43" s="90">
        <f t="shared" si="6"/>
        <v>0</v>
      </c>
      <c r="H43" s="91">
        <f t="shared" si="6"/>
        <v>0</v>
      </c>
      <c r="I43" s="91">
        <f t="shared" si="6"/>
        <v>0</v>
      </c>
      <c r="J43" s="91">
        <f t="shared" si="6"/>
        <v>0</v>
      </c>
      <c r="K43" s="91">
        <f t="shared" si="6"/>
        <v>0</v>
      </c>
      <c r="L43" s="91">
        <f t="shared" si="6"/>
        <v>0</v>
      </c>
      <c r="M43" s="91">
        <f t="shared" si="6"/>
        <v>0</v>
      </c>
      <c r="N43" s="89">
        <f t="shared" si="5"/>
        <v>-614</v>
      </c>
    </row>
    <row r="44" spans="1:14" ht="16.5" thickBot="1">
      <c r="A44" s="77" t="s">
        <v>21</v>
      </c>
      <c r="B44" s="92">
        <f>SUM(B10+B16+B22+B29+B36+B43)</f>
        <v>-2011</v>
      </c>
      <c r="C44" s="92">
        <f>SUM(C10+C16+C22+C29+C36+C43)</f>
        <v>-1223</v>
      </c>
      <c r="D44" s="92">
        <f>SUM(D10+D16+D22+D29+D36+D43)</f>
        <v>0</v>
      </c>
      <c r="E44" s="92">
        <f>SUM(E10+E16+E22+E29+E36+E43)</f>
        <v>0</v>
      </c>
      <c r="F44" s="92">
        <f t="shared" ref="F44:M44" si="7">SUM(F10+F16+F22+F29+F36+F43)</f>
        <v>0</v>
      </c>
      <c r="G44" s="92">
        <f t="shared" si="7"/>
        <v>0</v>
      </c>
      <c r="H44" s="92">
        <f t="shared" si="7"/>
        <v>0</v>
      </c>
      <c r="I44" s="92">
        <f t="shared" si="7"/>
        <v>0</v>
      </c>
      <c r="J44" s="92">
        <f t="shared" si="7"/>
        <v>0</v>
      </c>
      <c r="K44" s="92">
        <f t="shared" si="7"/>
        <v>0</v>
      </c>
      <c r="L44" s="92">
        <f t="shared" si="7"/>
        <v>0</v>
      </c>
      <c r="M44" s="92">
        <f t="shared" si="7"/>
        <v>0</v>
      </c>
      <c r="N44" s="93">
        <f>SUM(B44:M44)</f>
        <v>-3234</v>
      </c>
    </row>
    <row r="46" spans="1:14" ht="15.75">
      <c r="A46" s="77" t="s">
        <v>52</v>
      </c>
      <c r="B46" s="77" t="s">
        <v>26</v>
      </c>
      <c r="C46" s="77" t="s">
        <v>27</v>
      </c>
      <c r="D46" s="77" t="s">
        <v>28</v>
      </c>
      <c r="E46" s="77" t="s">
        <v>29</v>
      </c>
      <c r="F46" s="77" t="s">
        <v>30</v>
      </c>
      <c r="G46" s="77" t="s">
        <v>31</v>
      </c>
      <c r="H46" s="77" t="s">
        <v>32</v>
      </c>
      <c r="I46" s="77" t="s">
        <v>33</v>
      </c>
      <c r="J46" s="77" t="s">
        <v>34</v>
      </c>
      <c r="K46" s="77" t="s">
        <v>35</v>
      </c>
      <c r="L46" s="77" t="s">
        <v>36</v>
      </c>
      <c r="M46" s="77" t="s">
        <v>37</v>
      </c>
      <c r="N46" s="77" t="s">
        <v>38</v>
      </c>
    </row>
    <row r="47" spans="1:14">
      <c r="A47" t="s">
        <v>20</v>
      </c>
      <c r="B47" s="83">
        <f t="shared" ref="B47:H47" si="8">SUM(B6+B13+B19+B25+B32+B39)</f>
        <v>-1069</v>
      </c>
      <c r="C47" s="83">
        <f t="shared" si="8"/>
        <v>-1294</v>
      </c>
      <c r="D47" s="83">
        <f t="shared" si="8"/>
        <v>0</v>
      </c>
      <c r="E47" s="83">
        <f t="shared" si="8"/>
        <v>0</v>
      </c>
      <c r="F47" s="83">
        <f t="shared" si="8"/>
        <v>0</v>
      </c>
      <c r="G47" s="83">
        <f t="shared" si="8"/>
        <v>0</v>
      </c>
      <c r="H47" s="83">
        <f t="shared" si="8"/>
        <v>0</v>
      </c>
      <c r="I47" s="83">
        <f>SUM(I6+I13+I19+I25+I32+I39)</f>
        <v>0</v>
      </c>
      <c r="J47" s="83">
        <f>SUM(J6+J13+J19+J25+J32+J39)</f>
        <v>0</v>
      </c>
      <c r="K47" s="83">
        <f>SUM(K6+K13+K19+K25+K32+K39)</f>
        <v>0</v>
      </c>
      <c r="L47" s="83">
        <f>SUM(L6+L13+L19+L25+L32+L39)</f>
        <v>0</v>
      </c>
      <c r="M47" s="83">
        <f>SUM(M6+M13+M19+M25+M32+M39)</f>
        <v>0</v>
      </c>
      <c r="N47" s="83">
        <f>SUM(B47:M47)</f>
        <v>-2363</v>
      </c>
    </row>
    <row r="48" spans="1:14">
      <c r="A48" t="s">
        <v>12</v>
      </c>
      <c r="B48" s="83">
        <f t="shared" ref="B48:J48" si="9">SUM(B7+B14+B26+B33+B40)</f>
        <v>-1133</v>
      </c>
      <c r="C48" s="83">
        <f t="shared" si="9"/>
        <v>-778</v>
      </c>
      <c r="D48" s="83">
        <f t="shared" si="9"/>
        <v>0</v>
      </c>
      <c r="E48" s="83">
        <f t="shared" si="9"/>
        <v>0</v>
      </c>
      <c r="F48" s="83">
        <f t="shared" si="9"/>
        <v>0</v>
      </c>
      <c r="G48" s="83">
        <f t="shared" si="9"/>
        <v>0</v>
      </c>
      <c r="H48" s="83">
        <f t="shared" si="9"/>
        <v>0</v>
      </c>
      <c r="I48" s="83">
        <f t="shared" si="9"/>
        <v>0</v>
      </c>
      <c r="J48" s="83">
        <f t="shared" si="9"/>
        <v>0</v>
      </c>
      <c r="K48" s="83">
        <f>SUM(K7+K14+K26+K33+K40)</f>
        <v>0</v>
      </c>
      <c r="L48" s="83">
        <f>SUM(L7+L14+L26+L33+L40)</f>
        <v>0</v>
      </c>
      <c r="M48" s="83">
        <f>SUM(M7+M14+M26+M33+M40)</f>
        <v>0</v>
      </c>
      <c r="N48" s="83">
        <f>SUM(B48:M48)</f>
        <v>-1911</v>
      </c>
    </row>
    <row r="49" spans="1:14">
      <c r="A49" t="s">
        <v>13</v>
      </c>
      <c r="B49" s="83">
        <f t="shared" ref="B49:J49" si="10">SUM(B8+B15+B20+B27+B34+B41)</f>
        <v>381</v>
      </c>
      <c r="C49" s="83">
        <f t="shared" si="10"/>
        <v>252</v>
      </c>
      <c r="D49" s="83">
        <f t="shared" si="10"/>
        <v>0</v>
      </c>
      <c r="E49" s="83">
        <f t="shared" si="10"/>
        <v>0</v>
      </c>
      <c r="F49" s="83">
        <f t="shared" si="10"/>
        <v>0</v>
      </c>
      <c r="G49" s="83">
        <f t="shared" si="10"/>
        <v>0</v>
      </c>
      <c r="H49" s="83">
        <f t="shared" si="10"/>
        <v>0</v>
      </c>
      <c r="I49" s="83">
        <f t="shared" si="10"/>
        <v>0</v>
      </c>
      <c r="J49" s="83">
        <f t="shared" si="10"/>
        <v>0</v>
      </c>
      <c r="K49" s="83">
        <f>SUM(K8+K15+K20+K27+K34+K41)</f>
        <v>0</v>
      </c>
      <c r="L49" s="83">
        <f>SUM(L8+L15+L20+L27+L34+L41)</f>
        <v>0</v>
      </c>
      <c r="M49" s="83">
        <f>SUM(M8+M15+M20+M27+M34+M41)</f>
        <v>0</v>
      </c>
      <c r="N49" s="83">
        <f>SUM(B49:M49)</f>
        <v>633</v>
      </c>
    </row>
    <row r="50" spans="1:14">
      <c r="A50" t="s">
        <v>14</v>
      </c>
      <c r="B50" s="83">
        <f t="shared" ref="B50:H50" si="11">SUM(B9+B21+B28+B35+B42)</f>
        <v>-190</v>
      </c>
      <c r="C50" s="83">
        <f t="shared" si="11"/>
        <v>597</v>
      </c>
      <c r="D50" s="83">
        <f t="shared" si="11"/>
        <v>0</v>
      </c>
      <c r="E50" s="83">
        <f t="shared" si="11"/>
        <v>0</v>
      </c>
      <c r="F50" s="83">
        <f t="shared" si="11"/>
        <v>0</v>
      </c>
      <c r="G50" s="83">
        <f t="shared" si="11"/>
        <v>0</v>
      </c>
      <c r="H50" s="83">
        <f t="shared" si="11"/>
        <v>0</v>
      </c>
      <c r="I50" s="83">
        <f>SUM(I9+I28+I35+I42)</f>
        <v>0</v>
      </c>
      <c r="J50" s="83">
        <f>SUM(J9+J28+J35+J42)</f>
        <v>0</v>
      </c>
      <c r="K50" s="83">
        <f>SUM(K9+K28+K35+K42)</f>
        <v>0</v>
      </c>
      <c r="L50" s="83">
        <f>SUM(L9+L28+L35+L42)</f>
        <v>0</v>
      </c>
      <c r="M50" s="83">
        <f>SUM(M9+M28+M35+M42)</f>
        <v>0</v>
      </c>
      <c r="N50" s="83">
        <f>SUM(B50:M50)</f>
        <v>407</v>
      </c>
    </row>
    <row r="51" spans="1:14" s="84" customFormat="1">
      <c r="A51" s="84" t="s">
        <v>73</v>
      </c>
      <c r="B51" s="66">
        <f>SUM(B47:B50)</f>
        <v>-2011</v>
      </c>
      <c r="C51" s="66">
        <f t="shared" ref="C51:N51" si="12">SUM(C47:C50)</f>
        <v>-1223</v>
      </c>
      <c r="D51" s="66">
        <f t="shared" si="12"/>
        <v>0</v>
      </c>
      <c r="E51" s="66">
        <f t="shared" si="12"/>
        <v>0</v>
      </c>
      <c r="F51" s="66">
        <f t="shared" si="12"/>
        <v>0</v>
      </c>
      <c r="G51" s="66">
        <f t="shared" si="12"/>
        <v>0</v>
      </c>
      <c r="H51" s="66">
        <f t="shared" si="12"/>
        <v>0</v>
      </c>
      <c r="I51" s="66">
        <f t="shared" si="12"/>
        <v>0</v>
      </c>
      <c r="J51" s="66">
        <f t="shared" si="12"/>
        <v>0</v>
      </c>
      <c r="K51" s="66">
        <f t="shared" si="12"/>
        <v>0</v>
      </c>
      <c r="L51" s="66">
        <f t="shared" si="12"/>
        <v>0</v>
      </c>
      <c r="M51" s="66">
        <f t="shared" si="12"/>
        <v>0</v>
      </c>
      <c r="N51" s="66">
        <f t="shared" si="12"/>
        <v>-3234</v>
      </c>
    </row>
    <row r="52" spans="1:14">
      <c r="A52" s="84" t="s">
        <v>53</v>
      </c>
      <c r="B52" s="66">
        <v>-2563</v>
      </c>
      <c r="C52" s="66">
        <v>-1712</v>
      </c>
      <c r="D52" s="66">
        <v>-1297</v>
      </c>
      <c r="E52" s="66">
        <v>-1060</v>
      </c>
      <c r="F52" s="66">
        <v>-518</v>
      </c>
      <c r="G52" s="66">
        <v>-3747</v>
      </c>
      <c r="H52" s="66">
        <v>-2136</v>
      </c>
      <c r="I52" s="66">
        <v>-2207</v>
      </c>
      <c r="J52" s="66">
        <v>-2229</v>
      </c>
      <c r="K52" s="66">
        <v>-1968</v>
      </c>
      <c r="L52" s="66">
        <v>-1907</v>
      </c>
      <c r="M52" s="66">
        <v>-1278</v>
      </c>
      <c r="N52" s="66">
        <f>SUM(B52:M52)</f>
        <v>-22622</v>
      </c>
    </row>
    <row r="53" spans="1:14">
      <c r="A53" s="84" t="s">
        <v>54</v>
      </c>
      <c r="B53" s="66">
        <v>-2799</v>
      </c>
      <c r="C53" s="66">
        <v>-3246</v>
      </c>
      <c r="D53" s="66">
        <v>-2564</v>
      </c>
      <c r="E53" s="66">
        <v>-2020</v>
      </c>
      <c r="F53" s="66">
        <v>-2957</v>
      </c>
      <c r="G53" s="66">
        <v>-4940</v>
      </c>
      <c r="H53" s="66">
        <v>-3444</v>
      </c>
      <c r="I53" s="66">
        <v>-3984</v>
      </c>
      <c r="J53" s="66">
        <v>-4150</v>
      </c>
      <c r="K53" s="66">
        <v>-2281</v>
      </c>
      <c r="L53" s="66">
        <v>-3576</v>
      </c>
      <c r="M53" s="66">
        <v>-1479</v>
      </c>
      <c r="N53" s="66">
        <v>-37440</v>
      </c>
    </row>
    <row r="54" spans="1:14">
      <c r="A54" s="84" t="s">
        <v>55</v>
      </c>
      <c r="B54" s="66">
        <v>-3681</v>
      </c>
      <c r="C54" s="66">
        <v>-3612</v>
      </c>
      <c r="D54" s="66">
        <v>-4125</v>
      </c>
      <c r="E54" s="66">
        <v>-3691</v>
      </c>
      <c r="F54" s="66">
        <v>-2898</v>
      </c>
      <c r="G54" s="66">
        <v>-3782</v>
      </c>
      <c r="H54" s="66">
        <v>-5113</v>
      </c>
      <c r="I54" s="66">
        <v>-5424</v>
      </c>
      <c r="J54" s="66">
        <v>-4909</v>
      </c>
      <c r="K54" s="66">
        <v>-3320</v>
      </c>
      <c r="L54" s="66">
        <v>-3349</v>
      </c>
      <c r="M54" s="66">
        <v>-2737</v>
      </c>
      <c r="N54" s="66">
        <v>-46641</v>
      </c>
    </row>
    <row r="55" spans="1:14">
      <c r="A55" s="84" t="s">
        <v>56</v>
      </c>
      <c r="B55" s="84">
        <v>-3293</v>
      </c>
      <c r="C55" s="84">
        <v>-3201</v>
      </c>
      <c r="D55" s="84">
        <v>-3465</v>
      </c>
      <c r="E55" s="84">
        <v>-3811</v>
      </c>
      <c r="F55" s="84">
        <v>-3857</v>
      </c>
      <c r="G55" s="84">
        <v>-4655</v>
      </c>
      <c r="H55" s="84">
        <v>-5623</v>
      </c>
      <c r="I55" s="84">
        <v>-5700</v>
      </c>
      <c r="J55" s="84">
        <v>-5863</v>
      </c>
      <c r="K55" s="84">
        <v>-3722</v>
      </c>
      <c r="L55" s="84">
        <v>-4127</v>
      </c>
      <c r="M55" s="84">
        <v>0</v>
      </c>
      <c r="N55" s="84">
        <v>-47317</v>
      </c>
    </row>
  </sheetData>
  <mergeCells count="1">
    <mergeCell ref="B3:D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9"/>
  <sheetViews>
    <sheetView workbookViewId="0">
      <selection activeCell="J20" sqref="J20"/>
    </sheetView>
  </sheetViews>
  <sheetFormatPr baseColWidth="10" defaultRowHeight="15"/>
  <sheetData>
    <row r="2" spans="1:10" ht="23.25">
      <c r="A2" s="123" t="s">
        <v>57</v>
      </c>
      <c r="B2" s="123"/>
      <c r="C2" s="123"/>
      <c r="D2" s="123"/>
      <c r="E2" s="123"/>
      <c r="F2" s="123"/>
      <c r="G2" s="123"/>
    </row>
    <row r="3" spans="1:10" ht="23.25">
      <c r="A3" s="94"/>
      <c r="B3" s="123" t="s">
        <v>58</v>
      </c>
      <c r="C3" s="123"/>
      <c r="D3" s="123"/>
      <c r="E3" s="123"/>
      <c r="F3" s="95"/>
      <c r="G3" s="95"/>
    </row>
    <row r="5" spans="1:10">
      <c r="B5" s="96">
        <v>2013</v>
      </c>
      <c r="C5" s="96">
        <v>2014</v>
      </c>
      <c r="D5" s="96">
        <v>2015</v>
      </c>
      <c r="E5" s="96">
        <v>2016</v>
      </c>
      <c r="F5" s="96">
        <v>2017</v>
      </c>
      <c r="G5" s="96">
        <v>2018</v>
      </c>
      <c r="H5" s="96">
        <v>2019</v>
      </c>
      <c r="I5" s="96">
        <v>2020</v>
      </c>
      <c r="J5" s="96">
        <v>2021</v>
      </c>
    </row>
    <row r="6" spans="1:10">
      <c r="A6" t="s">
        <v>59</v>
      </c>
      <c r="B6" s="97">
        <v>617298</v>
      </c>
      <c r="C6" s="97">
        <v>533661</v>
      </c>
      <c r="D6" s="97">
        <v>514680</v>
      </c>
      <c r="E6" s="97">
        <v>556267</v>
      </c>
      <c r="F6" s="97">
        <v>596716</v>
      </c>
      <c r="G6" s="97">
        <v>594210</v>
      </c>
      <c r="H6" s="97">
        <v>564905</v>
      </c>
      <c r="I6" s="97">
        <v>578072</v>
      </c>
      <c r="J6" s="97">
        <v>477769</v>
      </c>
    </row>
    <row r="7" spans="1:10">
      <c r="A7" t="s">
        <v>60</v>
      </c>
      <c r="B7" s="97">
        <v>553380</v>
      </c>
      <c r="C7" s="97">
        <v>481739</v>
      </c>
      <c r="D7" s="97">
        <v>526353</v>
      </c>
      <c r="E7" s="97">
        <v>565401</v>
      </c>
      <c r="F7" s="97">
        <v>548243</v>
      </c>
      <c r="G7" s="97">
        <v>558475</v>
      </c>
      <c r="H7" s="97">
        <v>571393</v>
      </c>
      <c r="I7" s="97">
        <v>575461</v>
      </c>
      <c r="J7" s="97">
        <v>466830</v>
      </c>
    </row>
    <row r="8" spans="1:10">
      <c r="A8" t="s">
        <v>61</v>
      </c>
      <c r="B8" s="97">
        <v>557645</v>
      </c>
      <c r="C8" s="97">
        <v>545051</v>
      </c>
      <c r="D8" s="97">
        <v>564049</v>
      </c>
      <c r="E8" s="97">
        <v>612391</v>
      </c>
      <c r="F8" s="97">
        <v>609609</v>
      </c>
      <c r="G8" s="97">
        <v>629992</v>
      </c>
      <c r="H8" s="97">
        <v>618548</v>
      </c>
      <c r="I8" s="97">
        <v>405630</v>
      </c>
    </row>
    <row r="9" spans="1:10">
      <c r="A9" t="s">
        <v>62</v>
      </c>
      <c r="B9" s="97">
        <v>574447</v>
      </c>
      <c r="C9" s="97">
        <v>506615</v>
      </c>
      <c r="D9" s="97">
        <v>528281</v>
      </c>
      <c r="E9" s="97">
        <v>625913</v>
      </c>
      <c r="F9" s="97">
        <v>582944</v>
      </c>
      <c r="G9" s="97">
        <v>629688</v>
      </c>
      <c r="H9" s="97">
        <v>565931</v>
      </c>
      <c r="I9" s="97">
        <v>142838</v>
      </c>
    </row>
    <row r="10" spans="1:10">
      <c r="A10" t="s">
        <v>63</v>
      </c>
      <c r="B10" s="97">
        <v>631471</v>
      </c>
      <c r="C10" s="97">
        <v>559761</v>
      </c>
      <c r="D10" s="97">
        <v>603276</v>
      </c>
      <c r="E10" s="97">
        <v>619308</v>
      </c>
      <c r="F10" s="97">
        <v>636788</v>
      </c>
      <c r="G10" s="97">
        <v>663282</v>
      </c>
      <c r="H10" s="97">
        <v>637142</v>
      </c>
      <c r="I10" s="97">
        <v>241137</v>
      </c>
    </row>
    <row r="11" spans="1:10">
      <c r="A11" t="s">
        <v>64</v>
      </c>
      <c r="B11" s="97">
        <v>592473</v>
      </c>
      <c r="C11" s="97">
        <v>554824</v>
      </c>
      <c r="D11" s="97">
        <v>571073</v>
      </c>
      <c r="E11" s="97">
        <v>605114</v>
      </c>
      <c r="F11" s="97">
        <v>625811</v>
      </c>
      <c r="G11" s="97">
        <v>627760</v>
      </c>
      <c r="H11" s="97">
        <v>571769</v>
      </c>
      <c r="I11" s="97">
        <v>386352</v>
      </c>
    </row>
    <row r="12" spans="1:10">
      <c r="A12" t="s">
        <v>65</v>
      </c>
      <c r="B12" s="97">
        <v>584817</v>
      </c>
      <c r="C12" s="97">
        <v>538918</v>
      </c>
      <c r="D12" s="97">
        <v>571550</v>
      </c>
      <c r="E12" s="97">
        <v>606136</v>
      </c>
      <c r="F12" s="97">
        <v>619841</v>
      </c>
      <c r="G12" s="97">
        <v>601097</v>
      </c>
      <c r="H12" s="97">
        <v>601589</v>
      </c>
      <c r="I12" s="97">
        <v>416963</v>
      </c>
    </row>
    <row r="13" spans="1:10">
      <c r="A13" t="s">
        <v>66</v>
      </c>
      <c r="B13" s="97">
        <v>562258</v>
      </c>
      <c r="C13" s="97">
        <v>537921</v>
      </c>
      <c r="D13" s="97">
        <v>581486</v>
      </c>
      <c r="E13" s="97">
        <v>596737</v>
      </c>
      <c r="F13" s="97">
        <v>643619</v>
      </c>
      <c r="G13" s="97">
        <v>613380</v>
      </c>
      <c r="H13" s="97">
        <v>604855</v>
      </c>
      <c r="I13" s="97">
        <v>455262</v>
      </c>
    </row>
    <row r="14" spans="1:10">
      <c r="A14" t="s">
        <v>67</v>
      </c>
      <c r="B14" s="97">
        <v>575361</v>
      </c>
      <c r="C14" s="97">
        <v>534245</v>
      </c>
      <c r="D14" s="97">
        <v>565072</v>
      </c>
      <c r="E14" s="97">
        <v>586804</v>
      </c>
      <c r="F14" s="97">
        <v>606124</v>
      </c>
      <c r="G14" s="97">
        <v>535875</v>
      </c>
      <c r="H14" s="97">
        <v>594636</v>
      </c>
      <c r="I14" s="97">
        <v>472335</v>
      </c>
    </row>
    <row r="15" spans="1:10">
      <c r="A15" t="s">
        <v>68</v>
      </c>
      <c r="B15" s="97">
        <v>575030</v>
      </c>
      <c r="C15" s="97">
        <v>565264</v>
      </c>
      <c r="D15" s="97">
        <v>552110</v>
      </c>
      <c r="E15" s="97">
        <v>567059</v>
      </c>
      <c r="F15" s="97">
        <v>625103</v>
      </c>
      <c r="G15" s="97">
        <v>585493</v>
      </c>
      <c r="H15" s="97">
        <v>567020</v>
      </c>
      <c r="I15" s="97">
        <v>499170</v>
      </c>
    </row>
    <row r="16" spans="1:10">
      <c r="A16" t="s">
        <v>69</v>
      </c>
      <c r="B16" s="97">
        <v>543265</v>
      </c>
      <c r="C16" s="97">
        <v>480612</v>
      </c>
      <c r="D16" s="97">
        <v>569907</v>
      </c>
      <c r="E16" s="97">
        <v>558490</v>
      </c>
      <c r="F16" s="97">
        <v>623093</v>
      </c>
      <c r="G16" s="97">
        <v>611399</v>
      </c>
      <c r="H16" s="97">
        <v>575083</v>
      </c>
      <c r="I16" s="97">
        <v>471464</v>
      </c>
    </row>
    <row r="17" spans="1:10">
      <c r="A17" t="s">
        <v>70</v>
      </c>
      <c r="B17" s="97">
        <v>561949</v>
      </c>
      <c r="C17" s="97">
        <v>544168</v>
      </c>
      <c r="D17" s="97">
        <v>582932</v>
      </c>
      <c r="E17" s="97">
        <v>581737</v>
      </c>
      <c r="F17" s="97">
        <v>450511</v>
      </c>
      <c r="G17" s="97">
        <v>602123</v>
      </c>
      <c r="H17" s="97">
        <v>583522</v>
      </c>
      <c r="I17" s="97">
        <v>557824</v>
      </c>
    </row>
    <row r="18" spans="1:10">
      <c r="B18" s="98">
        <f t="shared" ref="B18:H18" si="0">SUM(B6:B17)</f>
        <v>6929394</v>
      </c>
      <c r="C18" s="98">
        <f t="shared" si="0"/>
        <v>6382779</v>
      </c>
      <c r="D18" s="98">
        <f t="shared" si="0"/>
        <v>6730769</v>
      </c>
      <c r="E18" s="98">
        <f t="shared" si="0"/>
        <v>7081357</v>
      </c>
      <c r="F18" s="98">
        <f t="shared" si="0"/>
        <v>7168402</v>
      </c>
      <c r="G18" s="98">
        <f t="shared" si="0"/>
        <v>7252774</v>
      </c>
      <c r="H18" s="98">
        <f t="shared" si="0"/>
        <v>7056393</v>
      </c>
      <c r="I18" s="98">
        <f>SUM(I6:I17)</f>
        <v>5202508</v>
      </c>
      <c r="J18" s="98">
        <f>SUM(J6:J17)</f>
        <v>944599</v>
      </c>
    </row>
    <row r="19" spans="1:10">
      <c r="B19" s="98"/>
      <c r="C19" s="98"/>
      <c r="D19" s="98"/>
      <c r="E19" s="98"/>
      <c r="F19" s="98"/>
      <c r="G19" s="98"/>
      <c r="H19" s="98"/>
    </row>
  </sheetData>
  <mergeCells count="2">
    <mergeCell ref="A2:G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ENERO</vt:lpstr>
      <vt:lpstr>FEBRERO</vt:lpstr>
      <vt:lpstr>VENTAS</vt:lpstr>
      <vt:lpstr>ACEITES</vt:lpstr>
      <vt:lpstr>EVAPORACIONES</vt:lpstr>
      <vt:lpstr>2013-2021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</dc:creator>
  <cp:lastModifiedBy>Gladys</cp:lastModifiedBy>
  <dcterms:created xsi:type="dcterms:W3CDTF">2021-02-06T06:35:54Z</dcterms:created>
  <dcterms:modified xsi:type="dcterms:W3CDTF">2021-03-07T05:20:40Z</dcterms:modified>
</cp:coreProperties>
</file>